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1" activeTab="0" autoFilterDateGrouping="1"/>
  </bookViews>
  <sheets>
    <sheet name="Resource Model" sheetId="1" state="visible" r:id="rId1"/>
    <sheet name="Capacity Summary" sheetId="2" state="visible" r:id="rId2"/>
    <sheet name="Role Capacity Planner" sheetId="3" state="visible" r:id="rId3"/>
    <sheet name="Project Portfolio" sheetId="4" state="visible" r:id="rId4"/>
    <sheet name="Team Roster" sheetId="5" state="visible" r:id="rId5"/>
    <sheet name="RM_Assumptions" sheetId="6" state="visible" r:id="rId6"/>
    <sheet name="Capacity Heatmap" sheetId="7" state="visible" r:id="rId7"/>
    <sheet name="RM_Gantt" sheetId="8" state="visible" r:id="rId8"/>
    <sheet name="RM_Guide" sheetId="9" state="visible" r:id="rId9"/>
    <sheet name="AI_Agent_Spec" sheetId="10" state="visible" r:id="rId10"/>
  </sheets>
  <definedNames>
    <definedName name="_xlnm._FilterDatabase" localSheetId="4" hidden="1">'Team Roster'!$A$3:$K$27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9">
    <numFmt numFmtId="164" formatCode="\$#,##0"/>
    <numFmt numFmtId="165" formatCode="mm/dd"/>
    <numFmt numFmtId="166" formatCode="mm/dd/yy"/>
    <numFmt numFmtId="167" formatCode=";;;"/>
    <numFmt numFmtId="168" formatCode="mm/dd/yyyy"/>
    <numFmt numFmtId="169" formatCode="_([$$-409]* #,##0.00_);_([$$-409]* \(#,##0.00\);_([$$-409]* &quot;-&quot;??_);_(@_)"/>
    <numFmt numFmtId="170" formatCode="0.0%"/>
    <numFmt numFmtId="171" formatCode="0.0"/>
    <numFmt numFmtId="172" formatCode="0&quot;%&quot;"/>
  </numFmts>
  <fonts count="95"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b val="1"/>
      <color rgb="FF1B2A4A"/>
      <sz val="14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i val="1"/>
      <color rgb="FF666666"/>
      <sz val="9"/>
    </font>
    <font>
      <name val="Arial"/>
      <charset val="1"/>
      <color rgb="FFFFFFFF"/>
      <sz val="8"/>
    </font>
    <font>
      <name val="Arial"/>
      <charset val="1"/>
      <b val="1"/>
      <color rgb="FF1B2A4A"/>
      <sz val="12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1"/>
    </font>
    <font>
      <name val="Arial"/>
      <color rgb="FF808080"/>
      <sz val="9"/>
    </font>
    <font>
      <name val="Arial"/>
      <sz val="9"/>
    </font>
    <font>
      <name val="Arial"/>
      <color rgb="FF000000"/>
      <sz val="9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b val="1"/>
      <color theme="1"/>
      <sz val="16"/>
    </font>
    <font>
      <name val="Arial"/>
      <b val="1"/>
      <color rgb="FFFFFFFF"/>
      <sz val="12"/>
    </font>
    <font>
      <name val="Arial"/>
      <color theme="1"/>
      <sz val="11"/>
    </font>
    <font>
      <name val="Arial"/>
      <b val="1"/>
      <color theme="1"/>
      <sz val="11"/>
    </font>
    <font>
      <name val="Arial"/>
      <sz val="11"/>
    </font>
    <font>
      <name val="Arial"/>
      <b val="1"/>
      <color rgb="FF1B2A4A"/>
      <sz val="11"/>
    </font>
    <font>
      <name val="Arial"/>
      <color rgb="FF555555"/>
      <sz val="10"/>
    </font>
    <font>
      <name val="Arial"/>
      <b val="1"/>
      <color rgb="FF0000FF"/>
      <sz val="11"/>
    </font>
    <font>
      <name val="Arial"/>
      <i val="1"/>
      <color rgb="FF888888"/>
      <sz val="10"/>
    </font>
    <font>
      <name val="Arial"/>
      <color rgb="FF000000"/>
      <sz val="11"/>
    </font>
    <font>
      <name val="Aptos"/>
      <color rgb="FF333333"/>
      <sz val="10"/>
    </font>
    <font>
      <name val="Aptos"/>
      <b val="1"/>
      <color rgb="FF1B2A4A"/>
      <sz val="10"/>
    </font>
    <font>
      <name val="Aptos"/>
      <b val="1"/>
      <color rgb="FF333333"/>
      <sz val="10"/>
    </font>
    <font>
      <name val="Aptos"/>
      <b val="1"/>
      <color rgb="FF6B7B8D"/>
      <sz val="9"/>
    </font>
    <font>
      <name val="Aptos"/>
      <b val="1"/>
      <color rgb="FF1B2A4A"/>
      <sz val="22"/>
    </font>
    <font>
      <name val="Aptos"/>
      <i val="1"/>
      <color rgb="FF999999"/>
      <sz val="8"/>
    </font>
    <font>
      <name val="Aptos"/>
      <b val="1"/>
      <color rgb="FFFFFFFF"/>
      <sz val="11"/>
    </font>
    <font>
      <name val="Aptos"/>
      <b val="1"/>
      <color rgb="FFFFFFFF"/>
      <sz val="9"/>
    </font>
    <font>
      <name val="Aptos"/>
      <color rgb="FF2563EB"/>
      <sz val="10"/>
    </font>
    <font>
      <name val="Aptos"/>
      <b val="1"/>
      <color rgb="FFFFFFFF"/>
      <sz val="10"/>
    </font>
    <font>
      <name val="Aptos"/>
      <b val="1"/>
      <color theme="0"/>
      <sz val="14"/>
    </font>
    <font>
      <name val="Aptos"/>
      <b val="1"/>
      <color theme="0"/>
      <sz val="10"/>
    </font>
    <font>
      <name val="Calibri"/>
      <charset val="1"/>
      <family val="2"/>
      <b val="1"/>
      <color rgb="FF1B2A4A"/>
      <sz val="14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b val="1"/>
      <color rgb="FF0000FF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color rgb="FF888888"/>
      <sz val="9"/>
    </font>
    <font>
      <name val="Calibri"/>
      <charset val="1"/>
      <family val="2"/>
      <b val="1"/>
      <color rgb="FF888888"/>
      <sz val="9"/>
    </font>
    <font>
      <name val="Calibri"/>
      <charset val="1"/>
      <family val="2"/>
      <color rgb="FF008000"/>
      <sz val="11"/>
    </font>
    <font>
      <name val="Calibri"/>
      <charset val="1"/>
      <family val="2"/>
      <b val="1"/>
      <color theme="1"/>
      <sz val="9"/>
    </font>
    <font>
      <name val="Calibri"/>
      <charset val="1"/>
      <family val="2"/>
      <b val="1"/>
      <color theme="1"/>
      <sz val="20"/>
    </font>
    <font>
      <name val="Calibri"/>
      <charset val="1"/>
      <family val="2"/>
      <b val="1"/>
      <color rgb="FF1B2A4A"/>
      <sz val="20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9"/>
    </font>
    <font>
      <name val="Aptos"/>
      <b val="1"/>
      <color rgb="FF1F3864"/>
      <sz val="16"/>
    </font>
    <font>
      <name val="Calibri"/>
      <charset val="1"/>
      <family val="2"/>
      <b val="1"/>
      <color rgb="FF1F3864"/>
      <sz val="11"/>
    </font>
    <font>
      <name val="Aptos"/>
      <color theme="1"/>
      <sz val="11"/>
    </font>
    <font>
      <name val="Aptos"/>
      <i val="1"/>
      <color rgb="FF666666"/>
      <sz val="10"/>
    </font>
    <font>
      <name val="Aptos"/>
      <b val="1"/>
      <color rgb="FFFFFFFF"/>
      <sz val="13"/>
    </font>
    <font>
      <name val="Aptos"/>
      <b val="1"/>
      <color rgb="FF1F3864"/>
      <sz val="10"/>
    </font>
    <font>
      <name val="Aptos"/>
      <color theme="1"/>
      <sz val="10"/>
    </font>
    <font>
      <name val="Aptos"/>
      <b val="1"/>
      <color theme="1"/>
      <sz val="10"/>
    </font>
    <font>
      <name val="Aptos"/>
      <color rgb="FF444444"/>
      <sz val="10"/>
    </font>
    <font>
      <name val="Aptos"/>
      <b val="1"/>
      <color rgb="FF000000"/>
      <sz val="10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C00000"/>
      <sz val="11"/>
    </font>
    <font>
      <name val="Calibri"/>
      <charset val="1"/>
      <family val="2"/>
      <b val="1"/>
      <color rgb="FF1F3864"/>
      <sz val="14"/>
    </font>
    <font>
      <name val="Calibri"/>
      <charset val="1"/>
      <family val="2"/>
      <color rgb="FFC00000"/>
      <sz val="9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color theme="1"/>
      <sz val="8"/>
    </font>
    <font>
      <name val="Aptos"/>
      <b val="1"/>
      <color rgb="FF1F3864"/>
      <sz val="12"/>
    </font>
    <font>
      <name val="Calibri"/>
      <charset val="1"/>
      <family val="2"/>
      <i val="1"/>
      <color rgb="FF666666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1B2A4A"/>
      <sz val="11"/>
    </font>
    <font>
      <b val="1"/>
      <color rgb="004472C4"/>
      <sz val="14"/>
    </font>
    <font>
      <color rgb="00666666"/>
      <sz val="9"/>
    </font>
    <font>
      <color rgb="00CC0000"/>
      <sz val="9"/>
    </font>
    <font>
      <b val="1"/>
      <color rgb="004472C4"/>
      <sz val="12"/>
    </font>
    <font>
      <sz val="10"/>
    </font>
    <font>
      <b val="1"/>
      <sz val="11"/>
    </font>
    <font>
      <b val="1"/>
      <sz val="12"/>
    </font>
    <font>
      <b val="1"/>
      <color rgb="00FFFFFF"/>
      <sz val="11"/>
    </font>
    <font>
      <b val="1"/>
      <sz val="10"/>
    </font>
    <font>
      <b val="1"/>
      <color rgb="00666666"/>
      <sz val="9"/>
    </font>
    <font>
      <b val="1"/>
      <color rgb="004472C4"/>
      <sz val="18"/>
    </font>
    <font>
      <i val="1"/>
      <color rgb="004472C4"/>
      <sz val="10"/>
    </font>
    <font>
      <b val="1"/>
      <color rgb="00006100"/>
      <sz val="10"/>
    </font>
    <font>
      <b val="1"/>
      <sz val="9"/>
    </font>
    <font>
      <b val="1"/>
      <color rgb="00FFFFFF"/>
      <sz val="8"/>
    </font>
    <font>
      <sz val="8"/>
    </font>
    <font>
      <b val="1"/>
      <color rgb="00FFFFFF"/>
      <sz val="7"/>
    </font>
    <font>
      <b val="1"/>
      <color rgb="00FF0000"/>
      <sz val="8"/>
    </font>
  </fonts>
  <fills count="43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4A7A"/>
        <bgColor rgb="FF1B2A4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3D5A8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8EAF0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4D96FF"/>
        <bgColor rgb="004D96FF"/>
      </patternFill>
    </fill>
  </fills>
  <borders count="3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0D0D0"/>
      </left>
      <right/>
      <top style="thin">
        <color rgb="FFD0D0D0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0D0D0"/>
      </top>
      <bottom style="thin">
        <color rgb="FFD9D9D9"/>
      </bottom>
      <diagonal/>
    </border>
    <border>
      <left style="thick">
        <color rgb="FFFF0000"/>
      </left>
      <right/>
      <top/>
      <bottom style="thin">
        <color rgb="FFD9D9D9"/>
      </bottom>
      <diagonal/>
    </border>
    <border>
      <left style="thick">
        <color rgb="FFFF0000"/>
      </left>
      <right/>
      <top style="thin">
        <color rgb="FFD9D9D9"/>
      </top>
      <bottom style="thin">
        <color rgb="FFD9D9D9"/>
      </bottom>
      <diagonal/>
    </border>
    <border>
      <left style="thick">
        <color rgb="FFFF0000"/>
      </left>
      <right/>
      <top/>
      <bottom style="thin">
        <color rgb="FFD0D0D0"/>
      </bottom>
      <diagonal/>
    </border>
    <border>
      <left style="thin">
        <color rgb="FFD9D9D9"/>
      </left>
      <right style="thin">
        <color rgb="FFD0D0D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theme="4" tint="0.3999755851924192"/>
      </top>
      <bottom/>
      <diagonal/>
    </border>
    <border>
      <left style="thin">
        <color rgb="FFD0D0D0"/>
      </left>
      <right/>
      <top style="thin">
        <color theme="4" tint="0.3999755851924192"/>
      </top>
      <bottom/>
      <diagonal/>
    </border>
    <border>
      <left style="thin">
        <color rgb="FFD0D0D0"/>
      </left>
      <right/>
      <top style="medium">
        <color rgb="FFFF0000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medium">
        <color rgb="FFFF0000"/>
      </top>
      <bottom style="thin">
        <color rgb="FFD9D9D9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1B2A4A"/>
      </top>
      <bottom/>
      <diagonal/>
    </border>
    <border>
      <left/>
      <right/>
      <top/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1">
    <xf numFmtId="0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0" fillId="0" borderId="0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5" fillId="2" borderId="2" applyAlignment="1" applyProtection="1" pivotButton="0" quotePrefix="0" xfId="0">
      <alignment horizontal="center" vertical="center" wrapText="1"/>
      <protection locked="0" hidden="0"/>
    </xf>
    <xf numFmtId="0" fontId="13" fillId="8" borderId="1" applyAlignment="1" applyProtection="1" pivotButton="0" quotePrefix="0" xfId="0">
      <alignment horizontal="center" vertical="center" wrapText="1"/>
      <protection locked="0" hidden="0"/>
    </xf>
    <xf numFmtId="0" fontId="5" fillId="2" borderId="3" applyAlignment="1" applyProtection="1" pivotButton="0" quotePrefix="0" xfId="0">
      <alignment horizontal="center" vertical="center" wrapText="1"/>
      <protection locked="0" hidden="0"/>
    </xf>
    <xf numFmtId="0" fontId="13" fillId="8" borderId="4" applyAlignment="1" applyProtection="1" pivotButton="0" quotePrefix="0" xfId="0">
      <alignment horizontal="center" vertical="center" wrapText="1"/>
      <protection locked="0" hidden="0"/>
    </xf>
    <xf numFmtId="0" fontId="6" fillId="4" borderId="1" applyAlignment="1" applyProtection="1" pivotButton="0" quotePrefix="0" xfId="0">
      <alignment vertical="center" wrapText="1"/>
      <protection locked="0" hidden="0"/>
    </xf>
    <xf numFmtId="0" fontId="6" fillId="4" borderId="2" applyAlignment="1" applyProtection="1" pivotButton="0" quotePrefix="0" xfId="0">
      <alignment vertical="center" wrapText="1"/>
      <protection locked="0" hidden="0"/>
    </xf>
    <xf numFmtId="0" fontId="11" fillId="6" borderId="1" applyAlignment="1" applyProtection="1" pivotButton="0" quotePrefix="0" xfId="0">
      <alignment vertical="center" wrapText="1"/>
      <protection locked="0" hidden="0"/>
    </xf>
    <xf numFmtId="164" fontId="6" fillId="4" borderId="3" applyAlignment="1" applyProtection="1" pivotButton="0" quotePrefix="0" xfId="0">
      <alignment vertical="center" wrapText="1"/>
      <protection locked="0" hidden="0"/>
    </xf>
    <xf numFmtId="9" fontId="10" fillId="6" borderId="1" applyAlignment="1" applyProtection="1" pivotButton="0" quotePrefix="0" xfId="0">
      <alignment vertical="center" wrapText="1"/>
      <protection locked="0" hidden="0"/>
    </xf>
    <xf numFmtId="9" fontId="11" fillId="6" borderId="1" applyAlignment="1" applyProtection="1" pivotButton="0" quotePrefix="0" xfId="0">
      <alignment vertical="center" wrapText="1"/>
      <protection locked="0" hidden="0"/>
    </xf>
    <xf numFmtId="1" fontId="11" fillId="6" borderId="1" applyAlignment="1" applyProtection="1" pivotButton="0" quotePrefix="0" xfId="0">
      <alignment vertical="center" wrapText="1"/>
      <protection locked="0" hidden="0"/>
    </xf>
    <xf numFmtId="0" fontId="6" fillId="5" borderId="1" applyAlignment="1" applyProtection="1" pivotButton="0" quotePrefix="0" xfId="0">
      <alignment vertical="center" wrapText="1"/>
      <protection locked="0" hidden="0"/>
    </xf>
    <xf numFmtId="0" fontId="6" fillId="5" borderId="2" applyAlignment="1" applyProtection="1" pivotButton="0" quotePrefix="0" xfId="0">
      <alignment vertical="center" wrapText="1"/>
      <protection locked="0" hidden="0"/>
    </xf>
    <xf numFmtId="0" fontId="11" fillId="7" borderId="1" applyAlignment="1" applyProtection="1" pivotButton="0" quotePrefix="0" xfId="0">
      <alignment vertical="center" wrapText="1"/>
      <protection locked="0" hidden="0"/>
    </xf>
    <xf numFmtId="164" fontId="6" fillId="5" borderId="3" applyAlignment="1" applyProtection="1" pivotButton="0" quotePrefix="0" xfId="0">
      <alignment vertical="center" wrapText="1"/>
      <protection locked="0" hidden="0"/>
    </xf>
    <xf numFmtId="9" fontId="10" fillId="7" borderId="1" applyAlignment="1" applyProtection="1" pivotButton="0" quotePrefix="0" xfId="0">
      <alignment vertical="center" wrapText="1"/>
      <protection locked="0" hidden="0"/>
    </xf>
    <xf numFmtId="9" fontId="11" fillId="7" borderId="1" applyAlignment="1" applyProtection="1" pivotButton="0" quotePrefix="0" xfId="0">
      <alignment vertical="center" wrapText="1"/>
      <protection locked="0" hidden="0"/>
    </xf>
    <xf numFmtId="1" fontId="11" fillId="7" borderId="1" applyAlignment="1" applyProtection="1" pivotButton="0" quotePrefix="0" xfId="0">
      <alignment vertical="center" wrapText="1"/>
      <protection locked="0" hidden="0"/>
    </xf>
    <xf numFmtId="9" fontId="10" fillId="6" borderId="5" applyAlignment="1" applyProtection="1" pivotButton="0" quotePrefix="0" xfId="0">
      <alignment vertical="center" wrapText="1"/>
      <protection locked="0" hidden="0"/>
    </xf>
    <xf numFmtId="0" fontId="6" fillId="4" borderId="5" applyAlignment="1" applyProtection="1" pivotButton="0" quotePrefix="0" xfId="0">
      <alignment vertical="center" wrapText="1"/>
      <protection locked="0" hidden="0"/>
    </xf>
    <xf numFmtId="9" fontId="12" fillId="6" borderId="5" applyAlignment="1" applyProtection="1" pivotButton="0" quotePrefix="0" xfId="0">
      <alignment vertical="center" wrapText="1"/>
      <protection locked="0" hidden="0"/>
    </xf>
    <xf numFmtId="1" fontId="12" fillId="6" borderId="5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0" fontId="5" fillId="2" borderId="4" applyAlignment="1" applyProtection="1" pivotButton="0" quotePrefix="0" xfId="0">
      <alignment horizontal="center" vertical="center" wrapText="1"/>
      <protection locked="0" hidden="0"/>
    </xf>
    <xf numFmtId="165" fontId="5" fillId="2" borderId="4" applyAlignment="1" applyProtection="1" pivotButton="0" quotePrefix="0" xfId="0">
      <alignment horizontal="center" vertical="center" wrapText="1"/>
      <protection locked="0" hidden="0"/>
    </xf>
    <xf numFmtId="165" fontId="5" fillId="2" borderId="7" applyAlignment="1" applyProtection="1" pivotButton="0" quotePrefix="0" xfId="0">
      <alignment horizontal="center" vertical="center" wrapText="1"/>
      <protection locked="0" hidden="0"/>
    </xf>
    <xf numFmtId="165" fontId="5" fillId="2" borderId="14" applyAlignment="1" applyProtection="1" pivotButton="0" quotePrefix="0" xfId="0">
      <alignment horizontal="center" vertical="center" wrapText="1"/>
      <protection locked="0" hidden="0"/>
    </xf>
    <xf numFmtId="165" fontId="5" fillId="2" borderId="16" applyAlignment="1" applyProtection="1" pivotButton="0" quotePrefix="0" xfId="0">
      <alignment horizontal="center" vertical="center" wrapText="1"/>
      <protection locked="0" hidden="0"/>
    </xf>
    <xf numFmtId="165" fontId="5" fillId="2" borderId="17" applyAlignment="1" applyProtection="1" pivotButton="0" quotePrefix="0" xfId="0">
      <alignment horizontal="center" vertical="center" wrapText="1"/>
      <protection locked="0" hidden="0"/>
    </xf>
    <xf numFmtId="165" fontId="5" fillId="2" borderId="20" applyAlignment="1" applyProtection="1" pivotButton="0" quotePrefix="0" xfId="0">
      <alignment horizontal="center" vertical="center" wrapText="1"/>
      <protection locked="0" hidden="0"/>
    </xf>
    <xf numFmtId="0" fontId="14" fillId="7" borderId="1" applyAlignment="1" applyProtection="1" pivotButton="0" quotePrefix="0" xfId="0">
      <alignment horizontal="center"/>
      <protection locked="0" hidden="0"/>
    </xf>
    <xf numFmtId="0" fontId="16" fillId="6" borderId="1" applyAlignment="1" applyProtection="1" pivotButton="0" quotePrefix="0" xfId="0">
      <alignment vertical="center"/>
      <protection locked="0" hidden="0"/>
    </xf>
    <xf numFmtId="0" fontId="16" fillId="6" borderId="1" applyAlignment="1" applyProtection="1" pivotButton="0" quotePrefix="0" xfId="0">
      <alignment vertical="center" wrapText="1"/>
      <protection locked="0" hidden="0"/>
    </xf>
    <xf numFmtId="166" fontId="15" fillId="6" borderId="1" applyAlignment="1" applyProtection="1" pivotButton="0" quotePrefix="0" xfId="0">
      <alignment vertical="center"/>
      <protection locked="0" hidden="0"/>
    </xf>
    <xf numFmtId="166" fontId="15" fillId="6" borderId="2" applyAlignment="1" applyProtection="1" pivotButton="0" quotePrefix="0" xfId="0">
      <alignment vertical="center"/>
      <protection locked="0" hidden="0"/>
    </xf>
    <xf numFmtId="167" fontId="0" fillId="0" borderId="11" applyProtection="1" pivotButton="0" quotePrefix="0" xfId="0">
      <protection locked="0" hidden="0"/>
    </xf>
    <xf numFmtId="167" fontId="0" fillId="0" borderId="12" applyProtection="1" pivotButton="0" quotePrefix="0" xfId="0">
      <protection locked="0" hidden="0"/>
    </xf>
    <xf numFmtId="167" fontId="0" fillId="0" borderId="18" applyProtection="1" pivotButton="0" quotePrefix="0" xfId="0">
      <protection locked="0" hidden="0"/>
    </xf>
    <xf numFmtId="0" fontId="14" fillId="6" borderId="1" applyAlignment="1" applyProtection="1" pivotButton="0" quotePrefix="0" xfId="0">
      <alignment horizontal="center"/>
      <protection locked="0" hidden="0"/>
    </xf>
    <xf numFmtId="167" fontId="0" fillId="0" borderId="13" applyProtection="1" pivotButton="0" quotePrefix="0" xfId="0">
      <protection locked="0" hidden="0"/>
    </xf>
    <xf numFmtId="167" fontId="0" fillId="0" borderId="17" applyProtection="1" pivotButton="0" quotePrefix="0" xfId="0">
      <protection locked="0" hidden="0"/>
    </xf>
    <xf numFmtId="0" fontId="17" fillId="9" borderId="0" applyAlignment="1" applyProtection="1" pivotButton="0" quotePrefix="0" xfId="0">
      <alignment horizontal="center" vertical="center"/>
      <protection locked="0" hidden="0"/>
    </xf>
    <xf numFmtId="0" fontId="18" fillId="10" borderId="0" applyAlignment="1" applyProtection="1" pivotButton="0" quotePrefix="0" xfId="0">
      <alignment horizontal="center" vertical="center"/>
      <protection locked="0" hidden="0"/>
    </xf>
    <xf numFmtId="0" fontId="17" fillId="11" borderId="0" applyAlignment="1" applyProtection="1" pivotButton="0" quotePrefix="0" xfId="0">
      <alignment horizontal="center" vertical="center"/>
      <protection locked="0" hidden="0"/>
    </xf>
    <xf numFmtId="0" fontId="18" fillId="12" borderId="0" applyAlignment="1" applyProtection="1" pivotButton="0" quotePrefix="0" xfId="0">
      <alignment horizontal="center" vertical="center"/>
      <protection locked="0" hidden="0"/>
    </xf>
    <xf numFmtId="0" fontId="8" fillId="3" borderId="0" applyAlignment="1" applyProtection="1" pivotButton="0" quotePrefix="0" xfId="0">
      <alignment horizontal="center" vertical="center" wrapText="1"/>
      <protection locked="0" hidden="0"/>
    </xf>
    <xf numFmtId="165" fontId="5" fillId="2" borderId="1" applyAlignment="1" applyProtection="1" pivotButton="0" quotePrefix="0" xfId="0">
      <alignment horizontal="center" vertical="center" wrapText="1"/>
      <protection locked="0" hidden="0"/>
    </xf>
    <xf numFmtId="9" fontId="6" fillId="4" borderId="1" applyAlignment="1" applyProtection="1" pivotButton="0" quotePrefix="0" xfId="0">
      <alignment vertical="center" wrapText="1"/>
      <protection locked="0" hidden="0"/>
    </xf>
    <xf numFmtId="0" fontId="9" fillId="0" borderId="0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24" fillId="16" borderId="0" applyProtection="1" pivotButton="0" quotePrefix="0" xfId="0">
      <protection locked="0" hidden="0"/>
    </xf>
    <xf numFmtId="168" fontId="26" fillId="16" borderId="0" applyAlignment="1" applyProtection="1" pivotButton="0" quotePrefix="0" xfId="0">
      <alignment horizontal="center"/>
      <protection locked="0" hidden="0"/>
    </xf>
    <xf numFmtId="0" fontId="27" fillId="0" borderId="0" applyProtection="1" pivotButton="0" quotePrefix="0" xfId="0">
      <protection locked="0" hidden="0"/>
    </xf>
    <xf numFmtId="0" fontId="20" fillId="8" borderId="0" applyProtection="1" pivotButton="0" quotePrefix="0" xfId="0">
      <protection locked="0" hidden="0"/>
    </xf>
    <xf numFmtId="0" fontId="0" fillId="8" borderId="0" applyProtection="1" pivotButton="0" quotePrefix="0" xfId="0">
      <protection locked="0" hidden="0"/>
    </xf>
    <xf numFmtId="0" fontId="22" fillId="13" borderId="21" applyProtection="1" pivotButton="0" quotePrefix="0" xfId="0">
      <protection locked="0" hidden="0"/>
    </xf>
    <xf numFmtId="165" fontId="5" fillId="2" borderId="21" applyAlignment="1" applyProtection="1" pivotButton="0" quotePrefix="0" xfId="0">
      <alignment horizontal="center" vertical="center" wrapText="1"/>
      <protection locked="0" hidden="0"/>
    </xf>
    <xf numFmtId="165" fontId="13" fillId="8" borderId="21" applyAlignment="1" applyProtection="1" pivotButton="0" quotePrefix="0" xfId="0">
      <alignment horizontal="center" vertical="center" wrapText="1"/>
      <protection locked="0" hidden="0"/>
    </xf>
    <xf numFmtId="0" fontId="22" fillId="0" borderId="21" applyProtection="1" pivotButton="0" quotePrefix="0" xfId="0">
      <protection locked="0" hidden="0"/>
    </xf>
    <xf numFmtId="0" fontId="6" fillId="4" borderId="21" applyAlignment="1" applyProtection="1" pivotButton="0" quotePrefix="0" xfId="0">
      <alignment vertical="center" wrapText="1"/>
      <protection locked="0" hidden="0"/>
    </xf>
    <xf numFmtId="9" fontId="6" fillId="4" borderId="21" applyAlignment="1" applyProtection="1" pivotButton="0" quotePrefix="0" xfId="0">
      <alignment horizontal="center" vertical="center" wrapText="1"/>
      <protection locked="0" hidden="0"/>
    </xf>
    <xf numFmtId="1" fontId="23" fillId="4" borderId="21" applyAlignment="1" applyProtection="1" pivotButton="0" quotePrefix="0" xfId="0">
      <alignment horizontal="center" vertical="center" wrapText="1"/>
      <protection locked="0" hidden="0"/>
    </xf>
    <xf numFmtId="0" fontId="22" fillId="0" borderId="22" applyProtection="1" pivotButton="0" quotePrefix="0" xfId="0">
      <protection locked="0" hidden="0"/>
    </xf>
    <xf numFmtId="0" fontId="6" fillId="4" borderId="22" applyAlignment="1" applyProtection="1" pivotButton="0" quotePrefix="0" xfId="0">
      <alignment vertical="center" wrapText="1"/>
      <protection locked="0" hidden="0"/>
    </xf>
    <xf numFmtId="9" fontId="6" fillId="4" borderId="22" applyAlignment="1" applyProtection="1" pivotButton="0" quotePrefix="0" xfId="0">
      <alignment horizontal="center" vertical="center" wrapText="1"/>
      <protection locked="0" hidden="0"/>
    </xf>
    <xf numFmtId="1" fontId="23" fillId="4" borderId="22" applyAlignment="1" applyProtection="1" pivotButton="0" quotePrefix="0" xfId="0">
      <alignment horizontal="center" vertical="center" wrapText="1"/>
      <protection locked="0" hidden="0"/>
    </xf>
    <xf numFmtId="0" fontId="22" fillId="0" borderId="0" applyProtection="1" pivotButton="0" quotePrefix="0" xfId="0">
      <protection locked="0" hidden="0"/>
    </xf>
    <xf numFmtId="0" fontId="22" fillId="13" borderId="25" applyProtection="1" pivotButton="0" quotePrefix="0" xfId="0">
      <protection locked="0" hidden="0"/>
    </xf>
    <xf numFmtId="0" fontId="13" fillId="14" borderId="21" applyProtection="1" pivotButton="0" quotePrefix="0" xfId="0">
      <protection locked="0" hidden="0"/>
    </xf>
    <xf numFmtId="0" fontId="21" fillId="0" borderId="21" applyProtection="1" pivotButton="0" quotePrefix="0" xfId="0">
      <protection locked="0" hidden="0"/>
    </xf>
    <xf numFmtId="0" fontId="21" fillId="0" borderId="23" applyAlignment="1" applyProtection="1" pivotButton="0" quotePrefix="0" xfId="0">
      <alignment horizontal="center"/>
      <protection locked="0" hidden="0"/>
    </xf>
    <xf numFmtId="0" fontId="28" fillId="6" borderId="26" applyAlignment="1" applyProtection="1" pivotButton="0" quotePrefix="0" xfId="0">
      <alignment horizontal="center"/>
      <protection locked="0" hidden="0"/>
    </xf>
    <xf numFmtId="1" fontId="28" fillId="6" borderId="26" applyAlignment="1" applyProtection="1" pivotButton="0" quotePrefix="0" xfId="0">
      <alignment horizontal="center"/>
      <protection locked="0" hidden="0"/>
    </xf>
    <xf numFmtId="168" fontId="21" fillId="0" borderId="24" applyAlignment="1" applyProtection="1" pivotButton="0" quotePrefix="0" xfId="0">
      <alignment horizontal="center"/>
      <protection locked="0" hidden="0"/>
    </xf>
    <xf numFmtId="168" fontId="21" fillId="0" borderId="21" applyAlignment="1" applyProtection="1" pivotButton="0" quotePrefix="0" xfId="0">
      <alignment horizontal="center"/>
      <protection locked="0" hidden="0"/>
    </xf>
    <xf numFmtId="0" fontId="24" fillId="0" borderId="0" applyProtection="1" pivotButton="0" quotePrefix="0" xfId="0">
      <protection locked="0" hidden="0"/>
    </xf>
    <xf numFmtId="0" fontId="25" fillId="0" borderId="0" applyProtection="1" pivotButton="0" quotePrefix="0" xfId="0">
      <protection locked="0" hidden="0"/>
    </xf>
    <xf numFmtId="9" fontId="6" fillId="6" borderId="1" applyAlignment="1" applyProtection="1" pivotButton="0" quotePrefix="0" xfId="0">
      <alignment vertical="center" wrapText="1"/>
      <protection locked="0" hidden="0"/>
    </xf>
    <xf numFmtId="9" fontId="6" fillId="7" borderId="1" applyAlignment="1" applyProtection="1" pivotButton="0" quotePrefix="0" xfId="0">
      <alignment vertical="center" wrapText="1"/>
      <protection locked="0" hidden="0"/>
    </xf>
    <xf numFmtId="0" fontId="11" fillId="7" borderId="6" applyAlignment="1" applyProtection="1" pivotButton="0" quotePrefix="0" xfId="0">
      <alignment vertical="center" wrapText="1"/>
      <protection locked="0" hidden="0"/>
    </xf>
    <xf numFmtId="0" fontId="11" fillId="7" borderId="4" applyAlignment="1" applyProtection="1" pivotButton="0" quotePrefix="0" xfId="0">
      <alignment vertical="center" wrapText="1"/>
      <protection locked="0" hidden="0"/>
    </xf>
    <xf numFmtId="1" fontId="11" fillId="7" borderId="4" applyAlignment="1" applyProtection="1" pivotButton="0" quotePrefix="0" xfId="0">
      <alignment vertical="center" wrapText="1"/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13" fillId="8" borderId="7" applyAlignment="1" pivotButton="0" quotePrefix="0" xfId="0">
      <alignment horizontal="center" vertical="center" wrapText="1"/>
    </xf>
    <xf numFmtId="0" fontId="6" fillId="15" borderId="7" applyAlignment="1" pivotButton="0" quotePrefix="0" xfId="0">
      <alignment vertical="center" wrapText="1"/>
    </xf>
    <xf numFmtId="0" fontId="3" fillId="15" borderId="7" applyAlignment="1" pivotButton="0" quotePrefix="0" xfId="0">
      <alignment vertical="center" wrapText="1"/>
    </xf>
    <xf numFmtId="9" fontId="6" fillId="15" borderId="7" applyAlignment="1" pivotButton="0" quotePrefix="0" xfId="0">
      <alignment vertical="center" wrapText="1"/>
    </xf>
    <xf numFmtId="168" fontId="6" fillId="15" borderId="7" applyAlignment="1" pivotButton="0" quotePrefix="0" xfId="0">
      <alignment vertical="center" wrapText="1"/>
    </xf>
    <xf numFmtId="0" fontId="1" fillId="15" borderId="7" applyAlignment="1" pivotButton="0" quotePrefix="0" xfId="0">
      <alignment vertical="center" wrapText="1"/>
    </xf>
    <xf numFmtId="169" fontId="1" fillId="15" borderId="28" applyAlignment="1" pivotButton="0" quotePrefix="0" xfId="0">
      <alignment vertical="center" wrapText="1"/>
    </xf>
    <xf numFmtId="9" fontId="1" fillId="15" borderId="28" applyAlignment="1" pivotButton="0" quotePrefix="0" xfId="0">
      <alignment horizontal="center" vertical="center" wrapText="1"/>
    </xf>
    <xf numFmtId="9" fontId="1" fillId="15" borderId="7" applyAlignment="1" pivotButton="0" quotePrefix="0" xfId="0">
      <alignment horizontal="center" vertical="center" wrapText="1"/>
    </xf>
    <xf numFmtId="0" fontId="1" fillId="15" borderId="28" applyAlignment="1" pivotButton="0" quotePrefix="0" xfId="0">
      <alignment vertical="center" wrapText="1"/>
    </xf>
    <xf numFmtId="0" fontId="1" fillId="15" borderId="27" applyAlignment="1" pivotButton="0" quotePrefix="0" xfId="0">
      <alignment vertical="center" wrapText="1"/>
    </xf>
    <xf numFmtId="0" fontId="6" fillId="6" borderId="7" applyAlignment="1" pivotButton="0" quotePrefix="0" xfId="0">
      <alignment vertical="center" wrapText="1"/>
    </xf>
    <xf numFmtId="0" fontId="3" fillId="6" borderId="7" applyAlignment="1" pivotButton="0" quotePrefix="0" xfId="0">
      <alignment vertical="center" wrapText="1"/>
    </xf>
    <xf numFmtId="9" fontId="6" fillId="6" borderId="7" applyAlignment="1" pivotButton="0" quotePrefix="0" xfId="0">
      <alignment vertical="center" wrapText="1"/>
    </xf>
    <xf numFmtId="168" fontId="6" fillId="6" borderId="7" applyAlignment="1" pivotButton="0" quotePrefix="0" xfId="0">
      <alignment vertical="center" wrapText="1"/>
    </xf>
    <xf numFmtId="0" fontId="1" fillId="6" borderId="7" applyAlignment="1" pivotButton="0" quotePrefix="0" xfId="0">
      <alignment vertical="center" wrapText="1"/>
    </xf>
    <xf numFmtId="169" fontId="1" fillId="6" borderId="7" applyAlignment="1" pivotButton="0" quotePrefix="0" xfId="0">
      <alignment vertical="center" wrapText="1"/>
    </xf>
    <xf numFmtId="9" fontId="1" fillId="6" borderId="7" applyAlignment="1" pivotButton="0" quotePrefix="0" xfId="0">
      <alignment horizontal="center" vertical="center" wrapText="1"/>
    </xf>
    <xf numFmtId="0" fontId="1" fillId="6" borderId="4" applyAlignment="1" pivotButton="0" quotePrefix="0" xfId="0">
      <alignment vertical="center" wrapText="1"/>
    </xf>
    <xf numFmtId="169" fontId="1" fillId="15" borderId="7" applyAlignment="1" pivotButton="0" quotePrefix="0" xfId="0">
      <alignment vertical="center" wrapText="1"/>
    </xf>
    <xf numFmtId="0" fontId="1" fillId="15" borderId="4" applyAlignment="1" pivotButton="0" quotePrefix="0" xfId="0">
      <alignment vertical="center" wrapText="1"/>
    </xf>
    <xf numFmtId="9" fontId="11" fillId="15" borderId="7" applyAlignment="1" pivotButton="0" quotePrefix="0" xfId="0">
      <alignment horizontal="center" vertical="center" wrapText="1"/>
    </xf>
    <xf numFmtId="9" fontId="11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vertical="center" wrapText="1"/>
    </xf>
    <xf numFmtId="9" fontId="6" fillId="6" borderId="2" applyAlignment="1" pivotButton="0" quotePrefix="0" xfId="0">
      <alignment vertical="center" wrapText="1"/>
    </xf>
    <xf numFmtId="168" fontId="6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169" fontId="1" fillId="6" borderId="2" applyAlignment="1" pivotButton="0" quotePrefix="0" xfId="0">
      <alignment vertical="center" wrapText="1"/>
    </xf>
    <xf numFmtId="9" fontId="1" fillId="6" borderId="2" applyAlignment="1" pivotButton="0" quotePrefix="0" xfId="0">
      <alignment horizontal="center" vertical="center" wrapText="1"/>
    </xf>
    <xf numFmtId="0" fontId="13" fillId="8" borderId="4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 wrapText="1"/>
    </xf>
    <xf numFmtId="0" fontId="6" fillId="15" borderId="10" applyAlignment="1" pivotButton="0" quotePrefix="0" xfId="0">
      <alignment vertical="center" wrapText="1"/>
    </xf>
    <xf numFmtId="9" fontId="6" fillId="15" borderId="10" applyAlignment="1" pivotButton="0" quotePrefix="0" xfId="0">
      <alignment vertical="center" wrapText="1"/>
    </xf>
    <xf numFmtId="168" fontId="6" fillId="15" borderId="10" applyAlignment="1" pivotButton="0" quotePrefix="0" xfId="0">
      <alignment vertical="center" wrapText="1"/>
    </xf>
    <xf numFmtId="0" fontId="1" fillId="15" borderId="10" applyAlignment="1" pivotButton="0" quotePrefix="0" xfId="0">
      <alignment vertical="center" wrapText="1"/>
    </xf>
    <xf numFmtId="169" fontId="1" fillId="15" borderId="10" applyAlignment="1" pivotButton="0" quotePrefix="0" xfId="0">
      <alignment vertical="center" wrapText="1"/>
    </xf>
    <xf numFmtId="9" fontId="1" fillId="15" borderId="10" applyAlignment="1" pivotButton="0" quotePrefix="0" xfId="0">
      <alignment horizontal="center" vertical="center" wrapText="1"/>
    </xf>
    <xf numFmtId="0" fontId="1" fillId="15" borderId="9" applyAlignment="1" pivotButton="0" quotePrefix="0" xfId="0">
      <alignment vertical="center" wrapText="1"/>
    </xf>
    <xf numFmtId="0" fontId="6" fillId="15" borderId="29" applyAlignment="1" pivotButton="0" quotePrefix="0" xfId="0">
      <alignment vertical="center" wrapText="1"/>
    </xf>
    <xf numFmtId="9" fontId="6" fillId="15" borderId="29" applyAlignment="1" pivotButton="0" quotePrefix="0" xfId="0">
      <alignment vertical="center" wrapText="1"/>
    </xf>
    <xf numFmtId="168" fontId="6" fillId="15" borderId="29" applyAlignment="1" pivotButton="0" quotePrefix="0" xfId="0">
      <alignment vertical="center" wrapText="1"/>
    </xf>
    <xf numFmtId="0" fontId="1" fillId="15" borderId="29" applyAlignment="1" pivotButton="0" quotePrefix="0" xfId="0">
      <alignment vertical="center" wrapText="1"/>
    </xf>
    <xf numFmtId="169" fontId="1" fillId="15" borderId="29" applyAlignment="1" pivotButton="0" quotePrefix="0" xfId="0">
      <alignment vertical="center" wrapText="1"/>
    </xf>
    <xf numFmtId="9" fontId="1" fillId="15" borderId="29" applyAlignment="1" pivotButton="0" quotePrefix="0" xfId="0">
      <alignment horizontal="center" vertical="center" wrapText="1"/>
    </xf>
    <xf numFmtId="0" fontId="1" fillId="15" borderId="30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9" fontId="6" fillId="6" borderId="8" applyAlignment="1" pivotButton="0" quotePrefix="0" xfId="0">
      <alignment vertical="center" wrapText="1"/>
    </xf>
    <xf numFmtId="168" fontId="6" fillId="6" borderId="8" applyAlignment="1" pivotButton="0" quotePrefix="0" xfId="0">
      <alignment vertical="center" wrapText="1"/>
    </xf>
    <xf numFmtId="0" fontId="1" fillId="6" borderId="8" applyAlignment="1" pivotButton="0" quotePrefix="0" xfId="0">
      <alignment vertical="center" wrapText="1"/>
    </xf>
    <xf numFmtId="169" fontId="1" fillId="6" borderId="8" applyAlignment="1" pivotButton="0" quotePrefix="0" xfId="0">
      <alignment vertical="center" wrapText="1"/>
    </xf>
    <xf numFmtId="9" fontId="1" fillId="6" borderId="8" applyAlignment="1" pivotButton="0" quotePrefix="0" xfId="0">
      <alignment horizontal="center" vertical="center" wrapText="1"/>
    </xf>
    <xf numFmtId="0" fontId="1" fillId="6" borderId="5" applyAlignment="1" pivotButton="0" quotePrefix="0" xfId="0">
      <alignment vertical="center" wrapText="1"/>
    </xf>
    <xf numFmtId="0" fontId="29" fillId="0" borderId="0" pivotButton="0" quotePrefix="0" xfId="0"/>
    <xf numFmtId="0" fontId="35" fillId="8" borderId="0" pivotButton="0" quotePrefix="0" xfId="0"/>
    <xf numFmtId="0" fontId="36" fillId="18" borderId="0" applyAlignment="1" pivotButton="0" quotePrefix="0" xfId="0">
      <alignment horizontal="center"/>
    </xf>
    <xf numFmtId="0" fontId="29" fillId="6" borderId="0" applyAlignment="1" pivotButton="0" quotePrefix="0" xfId="0">
      <alignment horizontal="center"/>
    </xf>
    <xf numFmtId="0" fontId="29" fillId="19" borderId="0" applyAlignment="1" pivotButton="0" quotePrefix="0" xfId="0">
      <alignment horizontal="center"/>
    </xf>
    <xf numFmtId="0" fontId="36" fillId="18" borderId="31" applyAlignment="1" pivotButton="0" quotePrefix="0" xfId="0">
      <alignment horizontal="center"/>
    </xf>
    <xf numFmtId="0" fontId="31" fillId="6" borderId="32" applyAlignment="1" pivotButton="0" quotePrefix="0" xfId="0">
      <alignment horizontal="left"/>
    </xf>
    <xf numFmtId="3" fontId="29" fillId="6" borderId="32" applyAlignment="1" pivotButton="0" quotePrefix="0" xfId="0">
      <alignment horizontal="center"/>
    </xf>
    <xf numFmtId="3" fontId="37" fillId="6" borderId="32" applyAlignment="1" pivotButton="0" quotePrefix="0" xfId="0">
      <alignment horizontal="center"/>
    </xf>
    <xf numFmtId="9" fontId="29" fillId="6" borderId="32" applyAlignment="1" pivotButton="0" quotePrefix="0" xfId="0">
      <alignment horizontal="center"/>
    </xf>
    <xf numFmtId="0" fontId="31" fillId="19" borderId="32" applyAlignment="1" pivotButton="0" quotePrefix="0" xfId="0">
      <alignment horizontal="left"/>
    </xf>
    <xf numFmtId="3" fontId="29" fillId="19" borderId="32" applyAlignment="1" pivotButton="0" quotePrefix="0" xfId="0">
      <alignment horizontal="center"/>
    </xf>
    <xf numFmtId="3" fontId="37" fillId="19" borderId="32" applyAlignment="1" pivotButton="0" quotePrefix="0" xfId="0">
      <alignment horizontal="center"/>
    </xf>
    <xf numFmtId="9" fontId="29" fillId="19" borderId="32" applyAlignment="1" pivotButton="0" quotePrefix="0" xfId="0">
      <alignment horizontal="center"/>
    </xf>
    <xf numFmtId="0" fontId="31" fillId="6" borderId="33" applyAlignment="1" pivotButton="0" quotePrefix="0" xfId="0">
      <alignment horizontal="left"/>
    </xf>
    <xf numFmtId="0" fontId="29" fillId="6" borderId="33" applyAlignment="1" pivotButton="0" quotePrefix="0" xfId="0">
      <alignment horizontal="center"/>
    </xf>
    <xf numFmtId="9" fontId="38" fillId="20" borderId="33" applyAlignment="1" pivotButton="0" quotePrefix="0" xfId="0">
      <alignment horizontal="center"/>
    </xf>
    <xf numFmtId="0" fontId="31" fillId="19" borderId="33" applyAlignment="1" pivotButton="0" quotePrefix="0" xfId="0">
      <alignment horizontal="left"/>
    </xf>
    <xf numFmtId="3" fontId="29" fillId="19" borderId="33" applyAlignment="1" pivotButton="0" quotePrefix="0" xfId="0">
      <alignment horizontal="center"/>
    </xf>
    <xf numFmtId="3" fontId="37" fillId="19" borderId="33" applyAlignment="1" pivotButton="0" quotePrefix="0" xfId="0">
      <alignment horizontal="center"/>
    </xf>
    <xf numFmtId="9" fontId="29" fillId="19" borderId="33" applyAlignment="1" pivotButton="0" quotePrefix="0" xfId="0">
      <alignment horizontal="center"/>
    </xf>
    <xf numFmtId="0" fontId="30" fillId="17" borderId="34" applyAlignment="1" pivotButton="0" quotePrefix="0" xfId="0">
      <alignment horizontal="left"/>
    </xf>
    <xf numFmtId="3" fontId="30" fillId="17" borderId="34" applyAlignment="1" pivotButton="0" quotePrefix="0" xfId="0">
      <alignment horizontal="center"/>
    </xf>
    <xf numFmtId="9" fontId="30" fillId="17" borderId="34" applyAlignment="1" pivotButton="0" quotePrefix="0" xfId="0">
      <alignment horizontal="center"/>
    </xf>
    <xf numFmtId="0" fontId="38" fillId="21" borderId="33" applyAlignment="1" pivotButton="0" quotePrefix="0" xfId="0">
      <alignment horizontal="center"/>
    </xf>
    <xf numFmtId="0" fontId="30" fillId="17" borderId="34" applyAlignment="1" pivotButton="0" quotePrefix="0" xfId="0">
      <alignment horizontal="center"/>
    </xf>
    <xf numFmtId="0" fontId="0" fillId="17" borderId="0" pivotButton="0" quotePrefix="0" xfId="0"/>
    <xf numFmtId="0" fontId="32" fillId="17" borderId="0" applyAlignment="1" pivotButton="0" quotePrefix="0" xfId="0">
      <alignment horizontal="center"/>
    </xf>
    <xf numFmtId="0" fontId="33" fillId="17" borderId="0" applyAlignment="1" pivotButton="0" quotePrefix="0" xfId="0">
      <alignment horizontal="center"/>
    </xf>
    <xf numFmtId="0" fontId="34" fillId="17" borderId="0" applyAlignment="1" pivotButton="0" quotePrefix="0" xfId="0">
      <alignment horizontal="center"/>
    </xf>
    <xf numFmtId="1" fontId="33" fillId="17" borderId="0" applyAlignment="1" pivotButton="0" quotePrefix="0" xfId="0">
      <alignment horizontal="center"/>
    </xf>
    <xf numFmtId="9" fontId="33" fillId="17" borderId="0" applyAlignment="1" pivotButton="0" quotePrefix="0" xfId="0">
      <alignment horizontal="center"/>
    </xf>
    <xf numFmtId="0" fontId="39" fillId="22" borderId="0" pivotButton="0" quotePrefix="0" xfId="0"/>
    <xf numFmtId="0" fontId="40" fillId="22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8" borderId="0" pivotButton="0" quotePrefix="0" xfId="0"/>
    <xf numFmtId="0" fontId="0" fillId="8" borderId="0" pivotButton="0" quotePrefix="0" xfId="0"/>
    <xf numFmtId="0" fontId="43" fillId="24" borderId="0" pivotButton="0" quotePrefix="0" xfId="0"/>
    <xf numFmtId="0" fontId="45" fillId="0" borderId="0" pivotButton="0" quotePrefix="0" xfId="0"/>
    <xf numFmtId="0" fontId="46" fillId="23" borderId="0" pivotButton="0" quotePrefix="0" xfId="0"/>
    <xf numFmtId="9" fontId="46" fillId="23" borderId="0" pivotButton="0" quotePrefix="0" xfId="0"/>
    <xf numFmtId="0" fontId="43" fillId="25" borderId="0" pivotButton="0" quotePrefix="0" xfId="0"/>
    <xf numFmtId="0" fontId="0" fillId="25" borderId="0" pivotButton="0" quotePrefix="0" xfId="0"/>
    <xf numFmtId="9" fontId="0" fillId="0" borderId="0" pivotButton="0" quotePrefix="0" xfId="0"/>
    <xf numFmtId="0" fontId="47" fillId="0" borderId="0" pivotButton="0" quotePrefix="0" xfId="0"/>
    <xf numFmtId="9" fontId="43" fillId="0" borderId="0" pivotButton="0" quotePrefix="0" xfId="0"/>
    <xf numFmtId="0" fontId="45" fillId="23" borderId="0" pivotButton="0" quotePrefix="0" xfId="0"/>
    <xf numFmtId="9" fontId="45" fillId="23" borderId="0" pivotButton="0" quotePrefix="0" xfId="0"/>
    <xf numFmtId="170" fontId="0" fillId="0" borderId="0" pivotButton="0" quotePrefix="0" xfId="0"/>
    <xf numFmtId="9" fontId="0" fillId="25" borderId="0" pivotButton="0" quotePrefix="0" xfId="0"/>
    <xf numFmtId="0" fontId="48" fillId="0" borderId="0" pivotButton="0" quotePrefix="0" xfId="0"/>
    <xf numFmtId="0" fontId="49" fillId="25" borderId="0" pivotButton="0" quotePrefix="0" xfId="0"/>
    <xf numFmtId="0" fontId="49" fillId="0" borderId="0" pivotButton="0" quotePrefix="0" xfId="0"/>
    <xf numFmtId="9" fontId="43" fillId="25" borderId="0" pivotButton="0" quotePrefix="0" xfId="0"/>
    <xf numFmtId="0" fontId="48" fillId="8" borderId="0" pivotButton="0" quotePrefix="0" xfId="0"/>
    <xf numFmtId="0" fontId="49" fillId="24" borderId="0" pivotButton="0" quotePrefix="0" xfId="0"/>
    <xf numFmtId="0" fontId="50" fillId="0" borderId="0" pivotButton="0" quotePrefix="0" xfId="0"/>
    <xf numFmtId="171" fontId="0" fillId="0" borderId="0" pivotButton="0" quotePrefix="0" xfId="0"/>
    <xf numFmtId="171" fontId="43" fillId="25" borderId="0" pivotButton="0" quotePrefix="0" xfId="0"/>
    <xf numFmtId="0" fontId="0" fillId="24" borderId="0" pivotButton="0" quotePrefix="0" xfId="0"/>
    <xf numFmtId="0" fontId="51" fillId="24" borderId="0" pivotButton="0" quotePrefix="0" xfId="0"/>
    <xf numFmtId="3" fontId="53" fillId="0" borderId="0" pivotButton="0" quotePrefix="0" xfId="0"/>
    <xf numFmtId="0" fontId="54" fillId="0" borderId="0" pivotButton="0" quotePrefix="0" xfId="0"/>
    <xf numFmtId="3" fontId="52" fillId="0" borderId="0" pivotButton="0" quotePrefix="0" xfId="0"/>
    <xf numFmtId="9" fontId="53" fillId="0" borderId="0" pivotButton="0" quotePrefix="0" xfId="0"/>
    <xf numFmtId="171" fontId="50" fillId="0" borderId="0" pivotButton="0" quotePrefix="0" xfId="0"/>
    <xf numFmtId="3" fontId="50" fillId="0" borderId="0" pivotButton="0" quotePrefix="0" xfId="0"/>
    <xf numFmtId="3" fontId="43" fillId="25" borderId="0" pivotButton="0" quotePrefix="0" xfId="0"/>
    <xf numFmtId="14" fontId="0" fillId="0" borderId="0" pivotButton="0" quotePrefix="0" xfId="0"/>
    <xf numFmtId="168" fontId="46" fillId="23" borderId="0" pivotButton="0" quotePrefix="0" xfId="0"/>
    <xf numFmtId="165" fontId="55" fillId="24" borderId="0" pivotButton="0" quotePrefix="0" xfId="0"/>
    <xf numFmtId="9" fontId="56" fillId="0" borderId="0" applyAlignment="1" pivotButton="0" quotePrefix="0" xfId="0">
      <alignment horizontal="center"/>
    </xf>
    <xf numFmtId="0" fontId="51" fillId="0" borderId="0" pivotButton="0" quotePrefix="0" xfId="0"/>
    <xf numFmtId="49" fontId="54" fillId="0" borderId="0" pivotButton="0" quotePrefix="0" xfId="0"/>
    <xf numFmtId="0" fontId="57" fillId="0" borderId="0" pivotButton="0" quotePrefix="0" xfId="0"/>
    <xf numFmtId="0" fontId="58" fillId="0" borderId="0" pivotButton="0" quotePrefix="0" xfId="0"/>
    <xf numFmtId="0" fontId="0" fillId="0" borderId="0" applyAlignment="1" pivotButton="0" quotePrefix="0" xfId="0">
      <alignment wrapText="1"/>
    </xf>
    <xf numFmtId="0" fontId="59" fillId="0" borderId="0" applyAlignment="1" pivotButton="0" quotePrefix="0" xfId="0">
      <alignment wrapText="1"/>
    </xf>
    <xf numFmtId="0" fontId="60" fillId="0" borderId="0" pivotButton="0" quotePrefix="0" xfId="0"/>
    <xf numFmtId="0" fontId="59" fillId="0" borderId="0" pivotButton="0" quotePrefix="0" xfId="0"/>
    <xf numFmtId="0" fontId="61" fillId="26" borderId="31" pivotButton="0" quotePrefix="0" xfId="0"/>
    <xf numFmtId="0" fontId="59" fillId="26" borderId="31" applyAlignment="1" pivotButton="0" quotePrefix="0" xfId="0">
      <alignment wrapText="1"/>
    </xf>
    <xf numFmtId="0" fontId="62" fillId="0" borderId="32" pivotButton="0" quotePrefix="0" xfId="0"/>
    <xf numFmtId="0" fontId="63" fillId="0" borderId="32" pivotButton="0" quotePrefix="0" xfId="0"/>
    <xf numFmtId="0" fontId="38" fillId="26" borderId="32" pivotButton="0" quotePrefix="0" xfId="0"/>
    <xf numFmtId="0" fontId="65" fillId="0" borderId="32" pivotButton="0" quotePrefix="0" xfId="0"/>
    <xf numFmtId="0" fontId="38" fillId="11" borderId="32" pivotButton="0" quotePrefix="0" xfId="0"/>
    <xf numFmtId="0" fontId="66" fillId="10" borderId="32" pivotButton="0" quotePrefix="0" xfId="0"/>
    <xf numFmtId="0" fontId="38" fillId="9" borderId="32" pivotButton="0" quotePrefix="0" xfId="0"/>
    <xf numFmtId="0" fontId="64" fillId="0" borderId="32" pivotButton="0" quotePrefix="0" xfId="0"/>
    <xf numFmtId="0" fontId="63" fillId="0" borderId="33" pivotButton="0" quotePrefix="0" xfId="0"/>
    <xf numFmtId="0" fontId="29" fillId="0" borderId="32" applyAlignment="1" pivotButton="0" quotePrefix="0" xfId="0">
      <alignment wrapText="1"/>
    </xf>
    <xf numFmtId="0" fontId="29" fillId="26" borderId="32" applyAlignment="1" pivotButton="0" quotePrefix="0" xfId="0">
      <alignment wrapText="1"/>
    </xf>
    <xf numFmtId="0" fontId="31" fillId="0" borderId="32" applyAlignment="1" pivotButton="0" quotePrefix="0" xfId="0">
      <alignment wrapText="1"/>
    </xf>
    <xf numFmtId="0" fontId="29" fillId="0" borderId="33" applyAlignment="1" pivotButton="0" quotePrefix="0" xfId="0">
      <alignment wrapText="1"/>
    </xf>
    <xf numFmtId="168" fontId="0" fillId="0" borderId="0" pivotButton="0" quotePrefix="0" xfId="0"/>
    <xf numFmtId="0" fontId="67" fillId="14" borderId="0" pivotButton="0" quotePrefix="0" xfId="0"/>
    <xf numFmtId="0" fontId="68" fillId="0" borderId="0" pivotButton="0" quotePrefix="0" xfId="0"/>
    <xf numFmtId="168" fontId="0" fillId="27" borderId="0" pivotButton="0" quotePrefix="0" xfId="0"/>
    <xf numFmtId="165" fontId="55" fillId="24" borderId="0" applyAlignment="1" pivotButton="0" quotePrefix="0" xfId="0">
      <alignment horizontal="center"/>
    </xf>
    <xf numFmtId="0" fontId="0" fillId="27" borderId="0" pivotButton="0" quotePrefix="0" xfId="0"/>
    <xf numFmtId="0" fontId="69" fillId="0" borderId="0" pivotButton="0" quotePrefix="0" xfId="0"/>
    <xf numFmtId="0" fontId="70" fillId="0" borderId="0" pivotButton="0" quotePrefix="0" xfId="0"/>
    <xf numFmtId="0" fontId="71" fillId="26" borderId="0" pivotButton="0" quotePrefix="0" xfId="0"/>
    <xf numFmtId="165" fontId="51" fillId="24" borderId="0" applyAlignment="1" pivotButton="0" quotePrefix="0" xfId="0">
      <alignment horizontal="center"/>
    </xf>
    <xf numFmtId="0" fontId="72" fillId="0" borderId="0" applyAlignment="1" pivotButton="0" quotePrefix="0" xfId="0">
      <alignment horizontal="center"/>
    </xf>
    <xf numFmtId="0" fontId="67" fillId="28" borderId="0" pivotButton="0" quotePrefix="0" xfId="0"/>
    <xf numFmtId="0" fontId="0" fillId="29" borderId="0" pivotButton="0" quotePrefix="0" xfId="0"/>
    <xf numFmtId="0" fontId="43" fillId="24" borderId="0" applyAlignment="1" pivotButton="0" quotePrefix="0" xfId="0">
      <alignment wrapText="1"/>
    </xf>
    <xf numFmtId="0" fontId="68" fillId="27" borderId="0" applyAlignment="1" pivotButton="0" quotePrefix="0" xfId="0">
      <alignment wrapText="1"/>
    </xf>
    <xf numFmtId="0" fontId="73" fillId="0" borderId="32" pivotButton="0" quotePrefix="0" xfId="0"/>
    <xf numFmtId="0" fontId="63" fillId="0" borderId="31" pivotButton="0" quotePrefix="0" xfId="0"/>
    <xf numFmtId="0" fontId="29" fillId="0" borderId="31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1" xfId="0">
      <alignment vertical="top" wrapText="1"/>
    </xf>
    <xf numFmtId="0" fontId="41" fillId="0" borderId="0" applyAlignment="1" pivotButton="0" quotePrefix="0" xfId="0">
      <alignment vertical="top"/>
    </xf>
    <xf numFmtId="0" fontId="74" fillId="0" borderId="0" applyAlignment="1" pivotButton="0" quotePrefix="0" xfId="0">
      <alignment vertical="top"/>
    </xf>
    <xf numFmtId="0" fontId="43" fillId="0" borderId="0" applyAlignment="1" pivotButton="0" quotePrefix="0" xfId="0">
      <alignment vertical="top"/>
    </xf>
    <xf numFmtId="0" fontId="75" fillId="8" borderId="0" applyAlignment="1" pivotButton="0" quotePrefix="0" xfId="0">
      <alignment vertical="top"/>
    </xf>
    <xf numFmtId="0" fontId="75" fillId="8" borderId="0" applyAlignment="1" pivotButton="0" quotePrefix="0" xfId="0">
      <alignment vertical="top" wrapText="1"/>
    </xf>
    <xf numFmtId="0" fontId="76" fillId="30" borderId="0" applyAlignment="1" pivotButton="0" quotePrefix="0" xfId="0">
      <alignment vertical="top"/>
    </xf>
    <xf numFmtId="0" fontId="76" fillId="30" borderId="0" applyAlignment="1" pivotButton="0" quotePrefix="0" xfId="0">
      <alignment vertical="top" wrapText="1"/>
    </xf>
    <xf numFmtId="0" fontId="2" fillId="3" borderId="0" applyAlignment="1" applyProtection="1" pivotButton="0" quotePrefix="0" xfId="0">
      <alignment horizontal="center" vertical="center" wrapText="1"/>
      <protection locked="0" hidden="0"/>
    </xf>
    <xf numFmtId="0" fontId="2" fillId="3" borderId="15" applyAlignment="1" applyProtection="1" pivotButton="0" quotePrefix="0" xfId="0">
      <alignment horizontal="center" vertical="center" wrapText="1"/>
      <protection locked="0" hidden="0"/>
    </xf>
    <xf numFmtId="0" fontId="2" fillId="3" borderId="19" applyAlignment="1" applyProtection="1" pivotButton="0" quotePrefix="0" xfId="0">
      <alignment horizontal="center" vertical="center" wrapText="1"/>
      <protection locked="0" hidden="0"/>
    </xf>
    <xf numFmtId="0" fontId="2" fillId="3" borderId="8" applyAlignment="1" applyProtection="1" pivotButton="0" quotePrefix="0" xfId="0">
      <alignment horizontal="center" vertical="center" wrapText="1"/>
      <protection locked="0" hidden="0"/>
    </xf>
    <xf numFmtId="0" fontId="4" fillId="0" borderId="0" applyProtection="1" pivotButton="0" quotePrefix="0" xfId="0">
      <protection locked="0" hidden="0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36" pivotButton="0" quotePrefix="0" xfId="0"/>
    <xf numFmtId="0" fontId="0" fillId="0" borderId="36" applyAlignment="1" pivotButton="0" quotePrefix="0" xfId="0">
      <alignment horizontal="center"/>
    </xf>
    <xf numFmtId="9" fontId="0" fillId="0" borderId="36" applyAlignment="1" pivotButton="0" quotePrefix="0" xfId="0">
      <alignment horizontal="center"/>
    </xf>
    <xf numFmtId="0" fontId="82" fillId="31" borderId="36" pivotButton="0" quotePrefix="0" xfId="0"/>
    <xf numFmtId="0" fontId="82" fillId="31" borderId="36" applyAlignment="1" pivotButton="0" quotePrefix="0" xfId="0">
      <alignment horizontal="center"/>
    </xf>
    <xf numFmtId="9" fontId="81" fillId="0" borderId="36" applyAlignment="1" pivotButton="0" quotePrefix="0" xfId="0">
      <alignment horizontal="center"/>
    </xf>
    <xf numFmtId="9" fontId="82" fillId="0" borderId="36" pivotButton="0" quotePrefix="0" xfId="0"/>
    <xf numFmtId="0" fontId="82" fillId="31" borderId="36" applyAlignment="1" pivotButton="0" quotePrefix="0" xfId="0">
      <alignment horizontal="center" wrapText="1"/>
    </xf>
    <xf numFmtId="0" fontId="81" fillId="0" borderId="36" applyAlignment="1" pivotButton="0" quotePrefix="0" xfId="0">
      <alignment horizontal="center"/>
    </xf>
    <xf numFmtId="171" fontId="81" fillId="0" borderId="36" applyAlignment="1" pivotButton="0" quotePrefix="0" xfId="0">
      <alignment horizontal="center"/>
    </xf>
    <xf numFmtId="171" fontId="81" fillId="32" borderId="36" applyAlignment="1" pivotButton="0" quotePrefix="0" xfId="0">
      <alignment horizontal="center"/>
    </xf>
    <xf numFmtId="171" fontId="82" fillId="31" borderId="36" pivotButton="0" quotePrefix="0" xfId="0"/>
    <xf numFmtId="0" fontId="83" fillId="0" borderId="36" pivotButton="0" quotePrefix="0" xfId="0"/>
    <xf numFmtId="0" fontId="82" fillId="0" borderId="36" pivotButton="0" quotePrefix="0" xfId="0"/>
    <xf numFmtId="3" fontId="83" fillId="0" borderId="36" pivotButton="0" quotePrefix="0" xfId="0"/>
    <xf numFmtId="0" fontId="82" fillId="33" borderId="36" pivotButton="0" quotePrefix="0" xfId="0"/>
    <xf numFmtId="0" fontId="0" fillId="0" borderId="36" pivotButton="0" quotePrefix="0" xfId="0"/>
    <xf numFmtId="171" fontId="81" fillId="33" borderId="36" applyAlignment="1" pivotButton="0" quotePrefix="0" xfId="0">
      <alignment horizontal="center"/>
    </xf>
    <xf numFmtId="171" fontId="82" fillId="33" borderId="36" applyAlignment="1" pivotButton="0" quotePrefix="0" xfId="0">
      <alignment horizontal="center"/>
    </xf>
    <xf numFmtId="171" fontId="82" fillId="0" borderId="36" applyAlignment="1" pivotButton="0" quotePrefix="0" xfId="0">
      <alignment horizontal="center"/>
    </xf>
    <xf numFmtId="0" fontId="0" fillId="31" borderId="36" pivotButton="0" quotePrefix="0" xfId="0"/>
    <xf numFmtId="171" fontId="82" fillId="31" borderId="36" applyAlignment="1" pivotButton="0" quotePrefix="0" xfId="0">
      <alignment horizontal="center"/>
    </xf>
    <xf numFmtId="171" fontId="84" fillId="34" borderId="36" applyAlignment="1" pivotButton="0" quotePrefix="0" xfId="0">
      <alignment horizontal="center"/>
    </xf>
    <xf numFmtId="171" fontId="85" fillId="32" borderId="36" applyAlignment="1" pivotButton="0" quotePrefix="0" xfId="0">
      <alignment horizontal="center"/>
    </xf>
    <xf numFmtId="0" fontId="86" fillId="0" borderId="0" pivotButton="0" quotePrefix="0" xfId="0"/>
    <xf numFmtId="0" fontId="87" fillId="0" borderId="0" pivotButton="0" quotePrefix="0" xfId="0"/>
    <xf numFmtId="0" fontId="84" fillId="34" borderId="36" applyAlignment="1" pivotButton="0" quotePrefix="0" xfId="0">
      <alignment horizontal="center" wrapText="1"/>
    </xf>
    <xf numFmtId="171" fontId="81" fillId="35" borderId="36" applyAlignment="1" pivotButton="0" quotePrefix="0" xfId="0">
      <alignment horizontal="center"/>
    </xf>
    <xf numFmtId="0" fontId="82" fillId="35" borderId="36" applyAlignment="1" pivotButton="0" quotePrefix="0" xfId="0">
      <alignment horizontal="center"/>
    </xf>
    <xf numFmtId="0" fontId="82" fillId="0" borderId="36" applyAlignment="1" pivotButton="0" quotePrefix="0" xfId="0">
      <alignment horizontal="center"/>
    </xf>
    <xf numFmtId="0" fontId="81" fillId="36" borderId="36" applyAlignment="1" pivotButton="0" quotePrefix="0" xfId="0">
      <alignment horizontal="center"/>
    </xf>
    <xf numFmtId="0" fontId="88" fillId="0" borderId="36" applyAlignment="1" pivotButton="0" quotePrefix="0" xfId="0">
      <alignment horizontal="center"/>
    </xf>
    <xf numFmtId="9" fontId="82" fillId="35" borderId="36" applyAlignment="1" pivotButton="0" quotePrefix="0" xfId="0">
      <alignment horizontal="center"/>
    </xf>
    <xf numFmtId="0" fontId="89" fillId="35" borderId="36" applyAlignment="1" pivotButton="0" quotePrefix="0" xfId="0">
      <alignment horizontal="center"/>
    </xf>
    <xf numFmtId="0" fontId="81" fillId="37" borderId="36" applyAlignment="1" pivotButton="0" quotePrefix="0" xfId="0">
      <alignment horizontal="center"/>
    </xf>
    <xf numFmtId="0" fontId="90" fillId="38" borderId="0" pivotButton="0" quotePrefix="0" xfId="0"/>
    <xf numFmtId="0" fontId="90" fillId="36" borderId="0" pivotButton="0" quotePrefix="0" xfId="0"/>
    <xf numFmtId="0" fontId="90" fillId="35" borderId="0" pivotButton="0" quotePrefix="0" xfId="0"/>
    <xf numFmtId="0" fontId="91" fillId="34" borderId="36" applyAlignment="1" pivotButton="0" quotePrefix="0" xfId="0">
      <alignment horizontal="center"/>
    </xf>
    <xf numFmtId="172" fontId="92" fillId="35" borderId="36" applyAlignment="1" pivotButton="0" quotePrefix="0" xfId="0">
      <alignment horizontal="center"/>
    </xf>
    <xf numFmtId="168" fontId="6" fillId="15" borderId="7" applyAlignment="1" pivotButton="0" quotePrefix="0" xfId="0">
      <alignment vertical="center" wrapText="1"/>
    </xf>
    <xf numFmtId="168" fontId="6" fillId="6" borderId="7" applyAlignment="1" pivotButton="0" quotePrefix="0" xfId="0">
      <alignment vertical="center" wrapText="1"/>
    </xf>
    <xf numFmtId="168" fontId="6" fillId="15" borderId="29" applyAlignment="1" pivotButton="0" quotePrefix="0" xfId="0">
      <alignment vertical="center" wrapText="1"/>
    </xf>
    <xf numFmtId="168" fontId="6" fillId="6" borderId="8" applyAlignment="1" pivotButton="0" quotePrefix="0" xfId="0">
      <alignment vertical="center" wrapText="1"/>
    </xf>
    <xf numFmtId="168" fontId="6" fillId="15" borderId="10" applyAlignment="1" pivotButton="0" quotePrefix="0" xfId="0">
      <alignment vertical="center" wrapText="1"/>
    </xf>
    <xf numFmtId="168" fontId="6" fillId="6" borderId="2" applyAlignment="1" pivotButton="0" quotePrefix="0" xfId="0">
      <alignment vertical="center" wrapText="1"/>
    </xf>
    <xf numFmtId="0" fontId="94" fillId="0" borderId="0" applyAlignment="1" pivotButton="0" quotePrefix="0" xfId="0">
      <alignment horizontal="center"/>
    </xf>
    <xf numFmtId="0" fontId="93" fillId="34" borderId="36" applyAlignment="1" pivotButton="0" quotePrefix="0" xfId="0">
      <alignment horizontal="center"/>
    </xf>
    <xf numFmtId="0" fontId="81" fillId="0" borderId="36" applyAlignment="1" pivotButton="0" quotePrefix="0" xfId="0">
      <alignment horizontal="left"/>
    </xf>
    <xf numFmtId="0" fontId="0" fillId="39" borderId="36" pivotButton="0" quotePrefix="0" xfId="0"/>
    <xf numFmtId="0" fontId="0" fillId="40" borderId="36" pivotButton="0" quotePrefix="0" xfId="0"/>
    <xf numFmtId="0" fontId="0" fillId="41" borderId="36" pivotButton="0" quotePrefix="0" xfId="0"/>
    <xf numFmtId="0" fontId="82" fillId="0" borderId="0" pivotButton="0" quotePrefix="0" xfId="0"/>
    <xf numFmtId="0" fontId="90" fillId="39" borderId="0" pivotButton="0" quotePrefix="0" xfId="0"/>
    <xf numFmtId="0" fontId="90" fillId="40" borderId="0" pivotButton="0" quotePrefix="0" xfId="0"/>
    <xf numFmtId="0" fontId="90" fillId="41" borderId="0" pivotButton="0" quotePrefix="0" xfId="0"/>
    <xf numFmtId="0" fontId="90" fillId="42" borderId="0" pivotButton="0" quotePrefix="0" xfId="0"/>
  </cellXfs>
  <cellStyles count="1">
    <cellStyle name="Normal" xfId="0" builtinId="0"/>
  </cellStyles>
  <dxfs count="57">
    <dxf>
      <font>
        <color rgb="FFA9D18E"/>
      </font>
      <fill>
        <patternFill patternType="solid">
          <fgColor indexed="64"/>
          <bgColor rgb="FFE2EFDA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A9D18E"/>
      </font>
      <fill>
        <patternFill patternType="solid">
          <fgColor indexed="64"/>
          <bgColor rgb="FFE2EFDA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0000"/>
      </font>
    </dxf>
    <dxf>
      <font>
        <color rgb="FF0061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D700"/>
        </patternFill>
      </fill>
    </dxf>
    <dxf>
      <font>
        <color rgb="FFFFFFFF"/>
      </font>
      <fill>
        <patternFill patternType="solid">
          <fgColor indexed="64"/>
          <bgColor rgb="FFFF4444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228B22"/>
      <rgbColor rgb="FF000080"/>
      <rgbColor rgb="FF9C6500"/>
      <rgbColor rgb="FF800080"/>
      <rgbColor rgb="FF008080"/>
      <rgbColor rgb="FFD0D0D0"/>
      <rgbColor rgb="FF808080"/>
      <rgbColor rgb="FFA5A5A5"/>
      <rgbColor rgb="FFB22222"/>
      <rgbColor rgb="FFF2F2F2"/>
      <rgbColor rgb="FFD6E4F0"/>
      <rgbColor rgb="FF660066"/>
      <rgbColor rgb="FFDAA520"/>
      <rgbColor rgb="FF0066CC"/>
      <rgbColor rgb="FFBDD7EE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C6EFCE"/>
      <rgbColor rgb="FFFFEB9C"/>
      <rgbColor rgb="FFA9D18E"/>
      <rgbColor rgb="FFF4B084"/>
      <rgbColor rgb="FFCC99FF"/>
      <rgbColor rgb="FFFFC7CE"/>
      <rgbColor rgb="FF4472C4"/>
      <rgbColor rgb="FF33CCCC"/>
      <rgbColor rgb="FF70AD47"/>
      <rgbColor rgb="FFFFC000"/>
      <rgbColor rgb="FFFF8C00"/>
      <rgbColor rgb="FFFF6600"/>
      <rgbColor rgb="FF666666"/>
      <rgbColor rgb="FF999999"/>
      <rgbColor rgb="FF003366"/>
      <rgbColor rgb="FF2E8B57"/>
      <rgbColor rgb="FF003300"/>
      <rgbColor rgb="FF333300"/>
      <rgbColor rgb="FF8B4513"/>
      <rgbColor rgb="FF993366"/>
      <rgbColor rgb="FF2D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270" t="inlineStr">
        <is>
          <t>Resource Model</t>
        </is>
      </c>
    </row>
    <row r="2">
      <c r="A2" s="271" t="inlineStr">
        <is>
          <t>All values are formulas — change source data and this sheet recalculates</t>
        </is>
      </c>
    </row>
    <row r="3">
      <c r="A3" s="272" t="inlineStr">
        <is>
          <t>Refresh required: Capacity Heatmap, Gantt, weekly role heatmap, demand column, project duration estimates, suggested dates</t>
        </is>
      </c>
    </row>
    <row r="4">
      <c r="A4" s="273" t="inlineStr">
        <is>
          <t>Time Allocation</t>
        </is>
      </c>
    </row>
    <row r="5">
      <c r="A5" s="274" t="inlineStr">
        <is>
          <t>Base Hours/Week</t>
        </is>
      </c>
      <c r="B5" s="275">
        <f>RM_Assumptions!B6</f>
        <v/>
      </c>
    </row>
    <row r="6">
      <c r="A6" s="274" t="inlineStr">
        <is>
          <t>Admin %</t>
        </is>
      </c>
      <c r="B6" s="276">
        <f>RM_Assumptions!B7</f>
        <v/>
      </c>
    </row>
    <row r="7">
      <c r="A7" s="274" t="inlineStr">
        <is>
          <t>Support/Break-Fix %</t>
        </is>
      </c>
      <c r="B7" s="276">
        <f>RM_Assumptions!B8</f>
        <v/>
      </c>
    </row>
    <row r="8">
      <c r="A8" s="274" t="inlineStr">
        <is>
          <t>Project %</t>
        </is>
      </c>
      <c r="B8" s="276">
        <f>RM_Assumptions!B9</f>
        <v/>
      </c>
    </row>
    <row r="9">
      <c r="A9" s="274" t="inlineStr">
        <is>
          <t>Project Hrs/Person/Wk</t>
        </is>
      </c>
      <c r="B9" s="275">
        <f>RM_Assumptions!B10</f>
        <v/>
      </c>
    </row>
    <row r="10">
      <c r="A10" s="274" t="inlineStr">
        <is>
          <t>Max Projects/Person</t>
        </is>
      </c>
      <c r="B10" s="275">
        <f>RM_Assumptions!B12</f>
        <v/>
      </c>
    </row>
    <row r="12">
      <c r="A12" s="273" t="inlineStr">
        <is>
          <t>SDLC Phase Weights</t>
        </is>
      </c>
    </row>
    <row r="13">
      <c r="A13" s="277" t="inlineStr">
        <is>
          <t>Phase</t>
        </is>
      </c>
      <c r="B13" s="278" t="inlineStr">
        <is>
          <t>Discovery</t>
        </is>
      </c>
      <c r="C13" s="278" t="inlineStr">
        <is>
          <t>Planning</t>
        </is>
      </c>
      <c r="D13" s="278" t="inlineStr">
        <is>
          <t>Design</t>
        </is>
      </c>
      <c r="E13" s="278" t="inlineStr">
        <is>
          <t>Build</t>
        </is>
      </c>
      <c r="F13" s="278" t="inlineStr">
        <is>
          <t>Test</t>
        </is>
      </c>
      <c r="G13" s="278" t="inlineStr">
        <is>
          <t>Deploy/Hypercare</t>
        </is>
      </c>
      <c r="H13" s="277" t="inlineStr">
        <is>
          <t>Total</t>
        </is>
      </c>
    </row>
    <row r="14">
      <c r="A14" s="274" t="inlineStr">
        <is>
          <t>Weight</t>
        </is>
      </c>
      <c r="B14" s="279">
        <f>RM_Assumptions!B16</f>
        <v/>
      </c>
      <c r="C14" s="279">
        <f>RM_Assumptions!C16</f>
        <v/>
      </c>
      <c r="D14" s="279">
        <f>RM_Assumptions!D16</f>
        <v/>
      </c>
      <c r="E14" s="279">
        <f>RM_Assumptions!E16</f>
        <v/>
      </c>
      <c r="F14" s="279">
        <f>RM_Assumptions!F16</f>
        <v/>
      </c>
      <c r="G14" s="279">
        <f>RM_Assumptions!G16</f>
        <v/>
      </c>
      <c r="H14" s="280">
        <f>SUM(B14:G14)</f>
        <v/>
      </c>
    </row>
    <row r="16">
      <c r="A16" s="273" t="inlineStr">
        <is>
          <t>Role Effort by SDLC Phase</t>
        </is>
      </c>
    </row>
    <row r="17">
      <c r="A17" s="277" t="inlineStr">
        <is>
          <t>Role</t>
        </is>
      </c>
      <c r="B17" s="278" t="inlineStr">
        <is>
          <t>Discovery</t>
        </is>
      </c>
      <c r="C17" s="278" t="inlineStr">
        <is>
          <t>Planning</t>
        </is>
      </c>
      <c r="D17" s="278" t="inlineStr">
        <is>
          <t>Design</t>
        </is>
      </c>
      <c r="E17" s="278" t="inlineStr">
        <is>
          <t>Build</t>
        </is>
      </c>
      <c r="F17" s="278" t="inlineStr">
        <is>
          <t>Test</t>
        </is>
      </c>
      <c r="G17" s="278" t="inlineStr">
        <is>
          <t>Deploy/Hypercare</t>
        </is>
      </c>
      <c r="H17" s="277" t="inlineStr">
        <is>
          <t>Total</t>
        </is>
      </c>
    </row>
    <row r="18">
      <c r="A18" s="274" t="inlineStr">
        <is>
          <t>Project Manager</t>
        </is>
      </c>
      <c r="B18" s="279">
        <f>RM_Assumptions!B21</f>
        <v/>
      </c>
      <c r="C18" s="279">
        <f>RM_Assumptions!C21</f>
        <v/>
      </c>
      <c r="D18" s="279">
        <f>RM_Assumptions!D21</f>
        <v/>
      </c>
      <c r="E18" s="279">
        <f>RM_Assumptions!E21</f>
        <v/>
      </c>
      <c r="F18" s="279">
        <f>RM_Assumptions!F21</f>
        <v/>
      </c>
      <c r="G18" s="279">
        <f>RM_Assumptions!G21</f>
        <v/>
      </c>
      <c r="H18" s="280">
        <f>SUM(B18:G18)</f>
        <v/>
      </c>
    </row>
    <row r="19">
      <c r="A19" s="274" t="inlineStr">
        <is>
          <t>DBA</t>
        </is>
      </c>
      <c r="B19" s="279">
        <f>RM_Assumptions!B22</f>
        <v/>
      </c>
      <c r="C19" s="279">
        <f>RM_Assumptions!C22</f>
        <v/>
      </c>
      <c r="D19" s="279">
        <f>RM_Assumptions!D22</f>
        <v/>
      </c>
      <c r="E19" s="279">
        <f>RM_Assumptions!E22</f>
        <v/>
      </c>
      <c r="F19" s="279">
        <f>RM_Assumptions!F22</f>
        <v/>
      </c>
      <c r="G19" s="279">
        <f>RM_Assumptions!G22</f>
        <v/>
      </c>
      <c r="H19" s="280">
        <f>SUM(B19:G19)</f>
        <v/>
      </c>
    </row>
    <row r="20">
      <c r="A20" s="274" t="inlineStr">
        <is>
          <t>IT Business Analyst/SME</t>
        </is>
      </c>
      <c r="B20" s="279">
        <f>RM_Assumptions!B23</f>
        <v/>
      </c>
      <c r="C20" s="279">
        <f>RM_Assumptions!C23</f>
        <v/>
      </c>
      <c r="D20" s="279">
        <f>RM_Assumptions!D23</f>
        <v/>
      </c>
      <c r="E20" s="279">
        <f>RM_Assumptions!E23</f>
        <v/>
      </c>
      <c r="F20" s="279">
        <f>RM_Assumptions!F23</f>
        <v/>
      </c>
      <c r="G20" s="279">
        <f>RM_Assumptions!G23</f>
        <v/>
      </c>
      <c r="H20" s="280">
        <f>SUM(B20:G20)</f>
        <v/>
      </c>
    </row>
    <row r="21">
      <c r="A21" s="274" t="inlineStr">
        <is>
          <t>IT Functional Analyst</t>
        </is>
      </c>
      <c r="B21" s="279">
        <f>RM_Assumptions!B24</f>
        <v/>
      </c>
      <c r="C21" s="279">
        <f>RM_Assumptions!C24</f>
        <v/>
      </c>
      <c r="D21" s="279">
        <f>RM_Assumptions!D24</f>
        <v/>
      </c>
      <c r="E21" s="279">
        <f>RM_Assumptions!E24</f>
        <v/>
      </c>
      <c r="F21" s="279">
        <f>RM_Assumptions!F24</f>
        <v/>
      </c>
      <c r="G21" s="279">
        <f>RM_Assumptions!G24</f>
        <v/>
      </c>
      <c r="H21" s="280">
        <f>SUM(B21:G21)</f>
        <v/>
      </c>
    </row>
    <row r="22">
      <c r="A22" s="274" t="inlineStr">
        <is>
          <t>IT Tech Analyst/Developer</t>
        </is>
      </c>
      <c r="B22" s="279">
        <f>RM_Assumptions!B25</f>
        <v/>
      </c>
      <c r="C22" s="279">
        <f>RM_Assumptions!C25</f>
        <v/>
      </c>
      <c r="D22" s="279">
        <f>RM_Assumptions!D25</f>
        <v/>
      </c>
      <c r="E22" s="279">
        <f>RM_Assumptions!E25</f>
        <v/>
      </c>
      <c r="F22" s="279">
        <f>RM_Assumptions!F25</f>
        <v/>
      </c>
      <c r="G22" s="279">
        <f>RM_Assumptions!G25</f>
        <v/>
      </c>
      <c r="H22" s="280">
        <f>SUM(B22:G22)</f>
        <v/>
      </c>
    </row>
    <row r="23">
      <c r="A23" s="274" t="inlineStr">
        <is>
          <t>Developer</t>
        </is>
      </c>
      <c r="B23" s="279">
        <f>RM_Assumptions!B26</f>
        <v/>
      </c>
      <c r="C23" s="279">
        <f>RM_Assumptions!C26</f>
        <v/>
      </c>
      <c r="D23" s="279">
        <f>RM_Assumptions!D26</f>
        <v/>
      </c>
      <c r="E23" s="279">
        <f>RM_Assumptions!E26</f>
        <v/>
      </c>
      <c r="F23" s="279">
        <f>RM_Assumptions!F26</f>
        <v/>
      </c>
      <c r="G23" s="279">
        <f>RM_Assumptions!G26</f>
        <v/>
      </c>
      <c r="H23" s="280">
        <f>SUM(B23:G23)</f>
        <v/>
      </c>
    </row>
    <row r="24">
      <c r="A24" s="274" t="inlineStr">
        <is>
          <t>Infrastructure</t>
        </is>
      </c>
      <c r="B24" s="279">
        <f>RM_Assumptions!B27</f>
        <v/>
      </c>
      <c r="C24" s="279">
        <f>RM_Assumptions!C27</f>
        <v/>
      </c>
      <c r="D24" s="279">
        <f>RM_Assumptions!D27</f>
        <v/>
      </c>
      <c r="E24" s="279">
        <f>RM_Assumptions!E27</f>
        <v/>
      </c>
      <c r="F24" s="279">
        <f>RM_Assumptions!F27</f>
        <v/>
      </c>
      <c r="G24" s="279">
        <f>RM_Assumptions!G27</f>
        <v/>
      </c>
      <c r="H24" s="280">
        <f>SUM(B24:G24)</f>
        <v/>
      </c>
    </row>
    <row r="25">
      <c r="A25" s="274" t="inlineStr">
        <is>
          <t>WMS Consultant</t>
        </is>
      </c>
      <c r="B25" s="279">
        <f>RM_Assumptions!B28</f>
        <v/>
      </c>
      <c r="C25" s="279">
        <f>RM_Assumptions!C28</f>
        <v/>
      </c>
      <c r="D25" s="279">
        <f>RM_Assumptions!D28</f>
        <v/>
      </c>
      <c r="E25" s="279">
        <f>RM_Assumptions!E28</f>
        <v/>
      </c>
      <c r="F25" s="279">
        <f>RM_Assumptions!F28</f>
        <v/>
      </c>
      <c r="G25" s="279">
        <f>RM_Assumptions!G28</f>
        <v/>
      </c>
      <c r="H25" s="280">
        <f>SUM(B25:G25)</f>
        <v/>
      </c>
    </row>
    <row r="27">
      <c r="A27" s="273" t="inlineStr">
        <is>
          <t>Per-Person Capacity</t>
        </is>
      </c>
    </row>
    <row r="28">
      <c r="A28" s="281" t="inlineStr">
        <is>
          <t>Role</t>
        </is>
      </c>
      <c r="B28" s="281" t="inlineStr">
        <is>
          <t>Headcount</t>
        </is>
      </c>
      <c r="C28" s="281" t="inlineStr">
        <is>
          <t>Team Supply
(hrs/wk)</t>
        </is>
      </c>
      <c r="D28" s="281" t="inlineStr">
        <is>
          <t>Per-Person
(hrs/wk)</t>
        </is>
      </c>
    </row>
    <row r="29">
      <c r="A29" s="274" t="inlineStr">
        <is>
          <t>Project Manager</t>
        </is>
      </c>
      <c r="B29" s="282">
        <f>COUNTIF('Team Roster'!$B$4:$B$26,"Project Manager")</f>
        <v/>
      </c>
      <c r="C29" s="283">
        <f>SUMIFS('Team Roster'!$K$4:$K$26,'Team Roster'!$B$4:$B$26,"Project Manager")</f>
        <v/>
      </c>
      <c r="D29" s="284">
        <f>IFERROR(AVERAGEIFS('Team Roster'!$K$4:$K$26,'Team Roster'!$B$4:$B$26,"Project Manager"),0)</f>
        <v/>
      </c>
    </row>
    <row r="30">
      <c r="A30" s="274" t="inlineStr">
        <is>
          <t>DBA</t>
        </is>
      </c>
      <c r="B30" s="282">
        <f>COUNTIF('Team Roster'!$B$4:$B$26,"DBA")</f>
        <v/>
      </c>
      <c r="C30" s="283">
        <f>SUMIFS('Team Roster'!$K$4:$K$26,'Team Roster'!$B$4:$B$26,"DBA")</f>
        <v/>
      </c>
      <c r="D30" s="284">
        <f>IFERROR(AVERAGEIFS('Team Roster'!$K$4:$K$26,'Team Roster'!$B$4:$B$26,"DBA"),0)</f>
        <v/>
      </c>
    </row>
    <row r="31">
      <c r="A31" s="274" t="inlineStr">
        <is>
          <t>IT Business Analyst/SME</t>
        </is>
      </c>
      <c r="B31" s="282">
        <f>COUNTIF('Team Roster'!$B$4:$B$26,"Business Analyst")</f>
        <v/>
      </c>
      <c r="C31" s="283">
        <f>SUMIFS('Team Roster'!$K$4:$K$26,'Team Roster'!$B$4:$B$26,"Business Analyst")</f>
        <v/>
      </c>
      <c r="D31" s="284">
        <f>IFERROR(AVERAGEIFS('Team Roster'!$K$4:$K$26,'Team Roster'!$B$4:$B$26,"Business Analyst"),0)</f>
        <v/>
      </c>
    </row>
    <row r="32">
      <c r="A32" s="274" t="inlineStr">
        <is>
          <t>IT Functional Analyst</t>
        </is>
      </c>
      <c r="B32" s="282">
        <f>COUNTIF('Team Roster'!$B$4:$B$26,"Functional")</f>
        <v/>
      </c>
      <c r="C32" s="283">
        <f>SUMIFS('Team Roster'!$K$4:$K$26,'Team Roster'!$B$4:$B$26,"Functional")</f>
        <v/>
      </c>
      <c r="D32" s="284">
        <f>IFERROR(AVERAGEIFS('Team Roster'!$K$4:$K$26,'Team Roster'!$B$4:$B$26,"Functional"),0)</f>
        <v/>
      </c>
    </row>
    <row r="33">
      <c r="A33" s="274" t="inlineStr">
        <is>
          <t>IT Tech Analyst/Developer</t>
        </is>
      </c>
      <c r="B33" s="282">
        <f>COUNTIF('Team Roster'!$B$4:$B$26,"Technical")</f>
        <v/>
      </c>
      <c r="C33" s="283">
        <f>SUMIFS('Team Roster'!$K$4:$K$26,'Team Roster'!$B$4:$B$26,"Technical")</f>
        <v/>
      </c>
      <c r="D33" s="284">
        <f>IFERROR(AVERAGEIFS('Team Roster'!$K$4:$K$26,'Team Roster'!$B$4:$B$26,"Technical"),0)</f>
        <v/>
      </c>
    </row>
    <row r="34">
      <c r="A34" s="274" t="inlineStr">
        <is>
          <t>Developer</t>
        </is>
      </c>
      <c r="B34" s="282">
        <f>COUNTIF('Team Roster'!$B$4:$B$26,"Developer")</f>
        <v/>
      </c>
      <c r="C34" s="283">
        <f>SUMIFS('Team Roster'!$K$4:$K$26,'Team Roster'!$B$4:$B$26,"Developer")</f>
        <v/>
      </c>
      <c r="D34" s="284">
        <f>IFERROR(AVERAGEIFS('Team Roster'!$K$4:$K$26,'Team Roster'!$B$4:$B$26,"Developer"),0)</f>
        <v/>
      </c>
    </row>
    <row r="35">
      <c r="A35" s="274" t="inlineStr">
        <is>
          <t>Infrastructure</t>
        </is>
      </c>
      <c r="B35" s="282">
        <f>COUNTIF('Team Roster'!$B$4:$B$26,"Infrastructure")</f>
        <v/>
      </c>
      <c r="C35" s="283">
        <f>SUMIFS('Team Roster'!$K$4:$K$26,'Team Roster'!$B$4:$B$26,"Infrastructure")</f>
        <v/>
      </c>
      <c r="D35" s="284">
        <f>IFERROR(AVERAGEIFS('Team Roster'!$K$4:$K$26,'Team Roster'!$B$4:$B$26,"Infrastructure"),0)</f>
        <v/>
      </c>
    </row>
    <row r="36">
      <c r="A36" s="274" t="inlineStr">
        <is>
          <t>WMS Consultant</t>
        </is>
      </c>
      <c r="B36" s="282">
        <f>COUNTIF('Team Roster'!$B$4:$B$26,"WMS Consultant")</f>
        <v/>
      </c>
      <c r="C36" s="283">
        <f>SUMIFS('Team Roster'!$K$4:$K$26,'Team Roster'!$B$4:$B$26,"WMS Consultant")</f>
        <v/>
      </c>
      <c r="D36" s="284">
        <f>IFERROR(AVERAGEIFS('Team Roster'!$K$4:$K$26,'Team Roster'!$B$4:$B$26,"WMS Consultant"),0)</f>
        <v/>
      </c>
    </row>
    <row r="37">
      <c r="A37" s="277" t="inlineStr">
        <is>
          <t>TOTAL</t>
        </is>
      </c>
      <c r="B37" s="277">
        <f>SUM(B29:B36)</f>
        <v/>
      </c>
      <c r="C37" s="285">
        <f>SUM(C29:C36)</f>
        <v/>
      </c>
    </row>
    <row r="40">
      <c r="A40" s="270" t="inlineStr">
        <is>
          <t>Per-Project Resource Breakdown</t>
        </is>
      </c>
    </row>
    <row r="41">
      <c r="A41" s="271" t="inlineStr">
        <is>
          <t>Only the Project ID is entered — all other values are formulas referencing source sheets</t>
        </is>
      </c>
    </row>
    <row r="43">
      <c r="A43" s="286" t="inlineStr">
        <is>
          <t>ETE-124</t>
        </is>
      </c>
      <c r="B43" s="286">
        <f>INDEX('Project Portfolio'!$B:$B,MATCH($A43,'Project Portfolio'!$A:$A,0))</f>
        <v/>
      </c>
      <c r="D43" s="271" t="inlineStr">
        <is>
          <t>Priority:</t>
        </is>
      </c>
      <c r="E43" s="287">
        <f>INDEX('Project Portfolio'!$H:$H,MATCH($A43,'Project Portfolio'!$A:$A,0))</f>
        <v/>
      </c>
      <c r="F43" s="271" t="inlineStr">
        <is>
          <t>Est Hrs:</t>
        </is>
      </c>
      <c r="G43" s="288">
        <f>INDEX('Project Portfolio'!$R:$R,MATCH($A43,'Project Portfolio'!$A:$A,0))</f>
        <v/>
      </c>
    </row>
    <row r="45">
      <c r="A45" s="281" t="inlineStr"/>
      <c r="B45" s="281" t="inlineStr">
        <is>
          <t>Alloc %</t>
        </is>
      </c>
      <c r="C45" s="281" t="inlineStr">
        <is>
          <t>Discovery</t>
        </is>
      </c>
      <c r="D45" s="281" t="inlineStr">
        <is>
          <t>Planning</t>
        </is>
      </c>
      <c r="E45" s="281" t="inlineStr">
        <is>
          <t>Design</t>
        </is>
      </c>
      <c r="F45" s="281" t="inlineStr">
        <is>
          <t>Build</t>
        </is>
      </c>
      <c r="G45" s="281" t="inlineStr">
        <is>
          <t>Test</t>
        </is>
      </c>
      <c r="H45" s="281" t="inlineStr">
        <is>
          <t>Deploy/Hypercare</t>
        </is>
      </c>
      <c r="I45" s="281" t="inlineStr">
        <is>
          <t>Total Hrs</t>
        </is>
      </c>
      <c r="J45" s="281" t="inlineStr">
        <is>
          <t>Days</t>
        </is>
      </c>
    </row>
    <row r="46">
      <c r="A46" s="289" t="inlineStr">
        <is>
          <t>Phase Hours</t>
        </is>
      </c>
      <c r="B46" s="290" t="inlineStr"/>
      <c r="C46" s="291">
        <f>$G$43*B14</f>
        <v/>
      </c>
      <c r="D46" s="291">
        <f>$G$43*C14</f>
        <v/>
      </c>
      <c r="E46" s="291">
        <f>$G$43*D14</f>
        <v/>
      </c>
      <c r="F46" s="291">
        <f>$G$43*E14</f>
        <v/>
      </c>
      <c r="G46" s="291">
        <f>$G$43*F14</f>
        <v/>
      </c>
      <c r="H46" s="291">
        <f>$G$43*G14</f>
        <v/>
      </c>
      <c r="I46" s="292">
        <f>SUM(C46:H46)</f>
        <v/>
      </c>
    </row>
    <row r="47">
      <c r="A47" s="274" t="inlineStr">
        <is>
          <t>IT Business Analyst/SME</t>
        </is>
      </c>
      <c r="B47" s="279">
        <f>INDEX('Project Portfolio'!$T:$T,MATCH($A$43,'Project Portfolio'!$A:$A,0))</f>
        <v/>
      </c>
      <c r="C47" s="283">
        <f>$G$43*B47*RM_Assumptions!B23</f>
        <v/>
      </c>
      <c r="D47" s="283">
        <f>$G$43*B47*RM_Assumptions!C23</f>
        <v/>
      </c>
      <c r="E47" s="283">
        <f>$G$43*B47*RM_Assumptions!D23</f>
        <v/>
      </c>
      <c r="F47" s="283">
        <f>$G$43*B47*RM_Assumptions!E23</f>
        <v/>
      </c>
      <c r="G47" s="283">
        <f>$G$43*B47*RM_Assumptions!F23</f>
        <v/>
      </c>
      <c r="H47" s="283">
        <f>$G$43*B47*RM_Assumptions!G23</f>
        <v/>
      </c>
      <c r="I47" s="293">
        <f>SUM(C47:H47)</f>
        <v/>
      </c>
      <c r="J47" s="283">
        <f>IFERROR(I47/($D$31*0.85)*5,0)</f>
        <v/>
      </c>
    </row>
    <row r="48">
      <c r="A48" s="274" t="inlineStr">
        <is>
          <t>IT Functional Analyst</t>
        </is>
      </c>
      <c r="B48" s="279">
        <f>INDEX('Project Portfolio'!$U:$U,MATCH($A$43,'Project Portfolio'!$A:$A,0))</f>
        <v/>
      </c>
      <c r="C48" s="283">
        <f>$G$43*B48*RM_Assumptions!B24</f>
        <v/>
      </c>
      <c r="D48" s="283">
        <f>$G$43*B48*RM_Assumptions!C24</f>
        <v/>
      </c>
      <c r="E48" s="283">
        <f>$G$43*B48*RM_Assumptions!D24</f>
        <v/>
      </c>
      <c r="F48" s="283">
        <f>$G$43*B48*RM_Assumptions!E24</f>
        <v/>
      </c>
      <c r="G48" s="283">
        <f>$G$43*B48*RM_Assumptions!F24</f>
        <v/>
      </c>
      <c r="H48" s="283">
        <f>$G$43*B48*RM_Assumptions!G24</f>
        <v/>
      </c>
      <c r="I48" s="293">
        <f>SUM(C48:H48)</f>
        <v/>
      </c>
      <c r="J48" s="283">
        <f>IFERROR(I48/($D$32*0.85)*5,0)</f>
        <v/>
      </c>
    </row>
    <row r="49">
      <c r="A49" s="274" t="inlineStr">
        <is>
          <t>IT Tech Analyst/Developer</t>
        </is>
      </c>
      <c r="B49" s="279">
        <f>INDEX('Project Portfolio'!$V:$V,MATCH($A$43,'Project Portfolio'!$A:$A,0))</f>
        <v/>
      </c>
      <c r="C49" s="283">
        <f>$G$43*B49*RM_Assumptions!B25</f>
        <v/>
      </c>
      <c r="D49" s="283">
        <f>$G$43*B49*RM_Assumptions!C25</f>
        <v/>
      </c>
      <c r="E49" s="283">
        <f>$G$43*B49*RM_Assumptions!D25</f>
        <v/>
      </c>
      <c r="F49" s="283">
        <f>$G$43*B49*RM_Assumptions!E25</f>
        <v/>
      </c>
      <c r="G49" s="283">
        <f>$G$43*B49*RM_Assumptions!F25</f>
        <v/>
      </c>
      <c r="H49" s="283">
        <f>$G$43*B49*RM_Assumptions!G25</f>
        <v/>
      </c>
      <c r="I49" s="293">
        <f>SUM(C49:H49)</f>
        <v/>
      </c>
      <c r="J49" s="283">
        <f>IFERROR(I49/($D$33*0.85)*5,0)</f>
        <v/>
      </c>
    </row>
    <row r="50">
      <c r="A50" s="277" t="inlineStr">
        <is>
          <t>TOTAL</t>
        </is>
      </c>
      <c r="B50" s="294" t="inlineStr"/>
      <c r="C50" s="295">
        <f>SUM(C47:C49)</f>
        <v/>
      </c>
      <c r="D50" s="295">
        <f>SUM(D47:D49)</f>
        <v/>
      </c>
      <c r="E50" s="295">
        <f>SUM(E47:E49)</f>
        <v/>
      </c>
      <c r="F50" s="295">
        <f>SUM(F47:F49)</f>
        <v/>
      </c>
      <c r="G50" s="295">
        <f>SUM(G47:G49)</f>
        <v/>
      </c>
      <c r="H50" s="295">
        <f>SUM(H47:H49)</f>
        <v/>
      </c>
      <c r="I50" s="296">
        <f>SUM(I47:I49)</f>
        <v/>
      </c>
    </row>
    <row r="51">
      <c r="A51" s="287" t="inlineStr">
        <is>
          <t>Reconciliation</t>
        </is>
      </c>
      <c r="B51" s="290">
        <f>"Est: "&amp;TEXT($G$43,"#,##0")&amp;" hrs"</f>
        <v/>
      </c>
      <c r="C51" s="290">
        <f>"Alloc: "&amp;TEXT(I50,"#,##0.0")&amp;" hrs"</f>
        <v/>
      </c>
      <c r="D51" s="287">
        <f>IF(ABS($G$43-I50)&lt;0.5,"RECONCILED","GAP: "&amp;TEXT($G$43-I50,"+#,##0.0;-#,##0.0")&amp;" hrs")</f>
        <v/>
      </c>
    </row>
    <row r="52">
      <c r="A52" s="287" t="inlineStr">
        <is>
          <t>Phase Duration (days)</t>
        </is>
      </c>
      <c r="B52" s="290" t="inlineStr"/>
      <c r="C52" s="297">
        <f>MAX(IFERROR(C47/($D$31*0.85),0),IFERROR(C48/($D$32*0.85),0),IFERROR(C49/($D$33*0.85),0))*5</f>
        <v/>
      </c>
      <c r="D52" s="297">
        <f>MAX(IFERROR(D47/($D$31*0.85),0),IFERROR(D48/($D$32*0.85),0),IFERROR(D49/($D$33*0.85),0))*5</f>
        <v/>
      </c>
      <c r="E52" s="297">
        <f>MAX(IFERROR(E47/($D$31*0.85),0),IFERROR(E48/($D$32*0.85),0),IFERROR(E49/($D$33*0.85),0))*5</f>
        <v/>
      </c>
      <c r="F52" s="297">
        <f>MAX(IFERROR(F47/($D$31*0.85),0),IFERROR(F48/($D$32*0.85),0),IFERROR(F49/($D$33*0.85),0))*5</f>
        <v/>
      </c>
      <c r="G52" s="297">
        <f>MAX(IFERROR(G47/($D$31*0.85),0),IFERROR(G48/($D$32*0.85),0),IFERROR(G49/($D$33*0.85),0))*5</f>
        <v/>
      </c>
      <c r="H52" s="297">
        <f>MAX(IFERROR(H47/($D$31*0.85),0),IFERROR(H48/($D$32*0.85),0),IFERROR(H49/($D$33*0.85),0))*5</f>
        <v/>
      </c>
      <c r="I52" s="296">
        <f>SUM(C52:H52)</f>
        <v/>
      </c>
      <c r="J52" s="287">
        <f>"Total: "&amp;TEXT(I52,"0.0")&amp;" days"</f>
        <v/>
      </c>
    </row>
    <row r="54">
      <c r="A54" s="286" t="inlineStr">
        <is>
          <t>ETE-37</t>
        </is>
      </c>
      <c r="B54" s="286">
        <f>INDEX('Project Portfolio'!$B:$B,MATCH($A54,'Project Portfolio'!$A:$A,0))</f>
        <v/>
      </c>
      <c r="D54" s="271" t="inlineStr">
        <is>
          <t>Priority:</t>
        </is>
      </c>
      <c r="E54" s="287">
        <f>INDEX('Project Portfolio'!$H:$H,MATCH($A54,'Project Portfolio'!$A:$A,0))</f>
        <v/>
      </c>
      <c r="F54" s="271" t="inlineStr">
        <is>
          <t>Est Hrs:</t>
        </is>
      </c>
      <c r="G54" s="288">
        <f>INDEX('Project Portfolio'!$R:$R,MATCH($A54,'Project Portfolio'!$A:$A,0))</f>
        <v/>
      </c>
    </row>
    <row r="56">
      <c r="A56" s="281" t="inlineStr"/>
      <c r="B56" s="281" t="inlineStr">
        <is>
          <t>Alloc %</t>
        </is>
      </c>
      <c r="C56" s="281" t="inlineStr">
        <is>
          <t>Discovery</t>
        </is>
      </c>
      <c r="D56" s="281" t="inlineStr">
        <is>
          <t>Planning</t>
        </is>
      </c>
      <c r="E56" s="281" t="inlineStr">
        <is>
          <t>Design</t>
        </is>
      </c>
      <c r="F56" s="281" t="inlineStr">
        <is>
          <t>Build</t>
        </is>
      </c>
      <c r="G56" s="281" t="inlineStr">
        <is>
          <t>Test</t>
        </is>
      </c>
      <c r="H56" s="281" t="inlineStr">
        <is>
          <t>Deploy/Hypercare</t>
        </is>
      </c>
      <c r="I56" s="281" t="inlineStr">
        <is>
          <t>Total Hrs</t>
        </is>
      </c>
      <c r="J56" s="281" t="inlineStr">
        <is>
          <t>Days</t>
        </is>
      </c>
    </row>
    <row r="57">
      <c r="A57" s="289" t="inlineStr">
        <is>
          <t>Phase Hours</t>
        </is>
      </c>
      <c r="B57" s="290" t="inlineStr"/>
      <c r="C57" s="291">
        <f>$G$54*B14</f>
        <v/>
      </c>
      <c r="D57" s="291">
        <f>$G$54*C14</f>
        <v/>
      </c>
      <c r="E57" s="291">
        <f>$G$54*D14</f>
        <v/>
      </c>
      <c r="F57" s="291">
        <f>$G$54*E14</f>
        <v/>
      </c>
      <c r="G57" s="291">
        <f>$G$54*F14</f>
        <v/>
      </c>
      <c r="H57" s="291">
        <f>$G$54*G14</f>
        <v/>
      </c>
      <c r="I57" s="292">
        <f>SUM(C57:H57)</f>
        <v/>
      </c>
    </row>
    <row r="58">
      <c r="A58" s="274" t="inlineStr">
        <is>
          <t>IT Business Analyst/SME</t>
        </is>
      </c>
      <c r="B58" s="279">
        <f>INDEX('Project Portfolio'!$T:$T,MATCH($A$54,'Project Portfolio'!$A:$A,0))</f>
        <v/>
      </c>
      <c r="C58" s="283">
        <f>$G$54*B58*RM_Assumptions!B23</f>
        <v/>
      </c>
      <c r="D58" s="283">
        <f>$G$54*B58*RM_Assumptions!C23</f>
        <v/>
      </c>
      <c r="E58" s="283">
        <f>$G$54*B58*RM_Assumptions!D23</f>
        <v/>
      </c>
      <c r="F58" s="283">
        <f>$G$54*B58*RM_Assumptions!E23</f>
        <v/>
      </c>
      <c r="G58" s="283">
        <f>$G$54*B58*RM_Assumptions!F23</f>
        <v/>
      </c>
      <c r="H58" s="283">
        <f>$G$54*B58*RM_Assumptions!G23</f>
        <v/>
      </c>
      <c r="I58" s="293">
        <f>SUM(C58:H58)</f>
        <v/>
      </c>
      <c r="J58" s="283">
        <f>IFERROR(I58/($D$31*0.85)*5,0)</f>
        <v/>
      </c>
    </row>
    <row r="59">
      <c r="A59" s="274" t="inlineStr">
        <is>
          <t>IT Functional Analyst</t>
        </is>
      </c>
      <c r="B59" s="279">
        <f>INDEX('Project Portfolio'!$U:$U,MATCH($A$54,'Project Portfolio'!$A:$A,0))</f>
        <v/>
      </c>
      <c r="C59" s="283">
        <f>$G$54*B59*RM_Assumptions!B24</f>
        <v/>
      </c>
      <c r="D59" s="283">
        <f>$G$54*B59*RM_Assumptions!C24</f>
        <v/>
      </c>
      <c r="E59" s="283">
        <f>$G$54*B59*RM_Assumptions!D24</f>
        <v/>
      </c>
      <c r="F59" s="283">
        <f>$G$54*B59*RM_Assumptions!E24</f>
        <v/>
      </c>
      <c r="G59" s="283">
        <f>$G$54*B59*RM_Assumptions!F24</f>
        <v/>
      </c>
      <c r="H59" s="283">
        <f>$G$54*B59*RM_Assumptions!G24</f>
        <v/>
      </c>
      <c r="I59" s="293">
        <f>SUM(C59:H59)</f>
        <v/>
      </c>
      <c r="J59" s="283">
        <f>IFERROR(I59/($D$32*0.85)*5,0)</f>
        <v/>
      </c>
    </row>
    <row r="60">
      <c r="A60" s="274" t="inlineStr">
        <is>
          <t>Developer</t>
        </is>
      </c>
      <c r="B60" s="279">
        <f>INDEX('Project Portfolio'!$W:$W,MATCH($A$54,'Project Portfolio'!$A:$A,0))</f>
        <v/>
      </c>
      <c r="C60" s="283">
        <f>$G$54*B60*RM_Assumptions!B26</f>
        <v/>
      </c>
      <c r="D60" s="283">
        <f>$G$54*B60*RM_Assumptions!C26</f>
        <v/>
      </c>
      <c r="E60" s="283">
        <f>$G$54*B60*RM_Assumptions!D26</f>
        <v/>
      </c>
      <c r="F60" s="283">
        <f>$G$54*B60*RM_Assumptions!E26</f>
        <v/>
      </c>
      <c r="G60" s="283">
        <f>$G$54*B60*RM_Assumptions!F26</f>
        <v/>
      </c>
      <c r="H60" s="283">
        <f>$G$54*B60*RM_Assumptions!G26</f>
        <v/>
      </c>
      <c r="I60" s="293">
        <f>SUM(C60:H60)</f>
        <v/>
      </c>
      <c r="J60" s="283">
        <f>IFERROR(I60/($D$34*0.85)*5,0)</f>
        <v/>
      </c>
    </row>
    <row r="61">
      <c r="A61" s="277" t="inlineStr">
        <is>
          <t>TOTAL</t>
        </is>
      </c>
      <c r="B61" s="294" t="inlineStr"/>
      <c r="C61" s="295">
        <f>SUM(C58:C60)</f>
        <v/>
      </c>
      <c r="D61" s="295">
        <f>SUM(D58:D60)</f>
        <v/>
      </c>
      <c r="E61" s="295">
        <f>SUM(E58:E60)</f>
        <v/>
      </c>
      <c r="F61" s="295">
        <f>SUM(F58:F60)</f>
        <v/>
      </c>
      <c r="G61" s="295">
        <f>SUM(G58:G60)</f>
        <v/>
      </c>
      <c r="H61" s="295">
        <f>SUM(H58:H60)</f>
        <v/>
      </c>
      <c r="I61" s="296">
        <f>SUM(I58:I60)</f>
        <v/>
      </c>
    </row>
    <row r="62">
      <c r="A62" s="287" t="inlineStr">
        <is>
          <t>Reconciliation</t>
        </is>
      </c>
      <c r="B62" s="290">
        <f>"Est: "&amp;TEXT($G$54,"#,##0")&amp;" hrs"</f>
        <v/>
      </c>
      <c r="C62" s="290">
        <f>"Alloc: "&amp;TEXT(I61,"#,##0.0")&amp;" hrs"</f>
        <v/>
      </c>
      <c r="D62" s="287">
        <f>IF(ABS($G$54-I61)&lt;0.5,"RECONCILED","GAP: "&amp;TEXT($G$54-I61,"+#,##0.0;-#,##0.0")&amp;" hrs")</f>
        <v/>
      </c>
    </row>
    <row r="63">
      <c r="A63" s="287" t="inlineStr">
        <is>
          <t>Phase Duration (days)</t>
        </is>
      </c>
      <c r="B63" s="290" t="inlineStr"/>
      <c r="C63" s="297">
        <f>MAX(IFERROR(C58/($D$31*0.85),0),IFERROR(C59/($D$32*0.85),0),IFERROR(C60/($D$34*0.85),0))*5</f>
        <v/>
      </c>
      <c r="D63" s="297">
        <f>MAX(IFERROR(D58/($D$31*0.85),0),IFERROR(D59/($D$32*0.85),0),IFERROR(D60/($D$34*0.85),0))*5</f>
        <v/>
      </c>
      <c r="E63" s="297">
        <f>MAX(IFERROR(E58/($D$31*0.85),0),IFERROR(E59/($D$32*0.85),0),IFERROR(E60/($D$34*0.85),0))*5</f>
        <v/>
      </c>
      <c r="F63" s="297">
        <f>MAX(IFERROR(F58/($D$31*0.85),0),IFERROR(F59/($D$32*0.85),0),IFERROR(F60/($D$34*0.85),0))*5</f>
        <v/>
      </c>
      <c r="G63" s="297">
        <f>MAX(IFERROR(G58/($D$31*0.85),0),IFERROR(G59/($D$32*0.85),0),IFERROR(G60/($D$34*0.85),0))*5</f>
        <v/>
      </c>
      <c r="H63" s="297">
        <f>MAX(IFERROR(H58/($D$31*0.85),0),IFERROR(H59/($D$32*0.85),0),IFERROR(H60/($D$34*0.85),0))*5</f>
        <v/>
      </c>
      <c r="I63" s="296">
        <f>SUM(C63:H63)</f>
        <v/>
      </c>
      <c r="J63" s="287">
        <f>"Total: "&amp;TEXT(I63,"0.0")&amp;" days"</f>
        <v/>
      </c>
    </row>
    <row r="65">
      <c r="A65" s="286" t="inlineStr">
        <is>
          <t>ETE-97</t>
        </is>
      </c>
      <c r="B65" s="286">
        <f>INDEX('Project Portfolio'!$B:$B,MATCH($A65,'Project Portfolio'!$A:$A,0))</f>
        <v/>
      </c>
      <c r="D65" s="271" t="inlineStr">
        <is>
          <t>Priority:</t>
        </is>
      </c>
      <c r="E65" s="287">
        <f>INDEX('Project Portfolio'!$H:$H,MATCH($A65,'Project Portfolio'!$A:$A,0))</f>
        <v/>
      </c>
      <c r="F65" s="271" t="inlineStr">
        <is>
          <t>Est Hrs:</t>
        </is>
      </c>
      <c r="G65" s="288">
        <f>INDEX('Project Portfolio'!$R:$R,MATCH($A65,'Project Portfolio'!$A:$A,0))</f>
        <v/>
      </c>
    </row>
    <row r="67">
      <c r="A67" s="281" t="inlineStr"/>
      <c r="B67" s="281" t="inlineStr">
        <is>
          <t>Alloc %</t>
        </is>
      </c>
      <c r="C67" s="281" t="inlineStr">
        <is>
          <t>Discovery</t>
        </is>
      </c>
      <c r="D67" s="281" t="inlineStr">
        <is>
          <t>Planning</t>
        </is>
      </c>
      <c r="E67" s="281" t="inlineStr">
        <is>
          <t>Design</t>
        </is>
      </c>
      <c r="F67" s="281" t="inlineStr">
        <is>
          <t>Build</t>
        </is>
      </c>
      <c r="G67" s="281" t="inlineStr">
        <is>
          <t>Test</t>
        </is>
      </c>
      <c r="H67" s="281" t="inlineStr">
        <is>
          <t>Deploy/Hypercare</t>
        </is>
      </c>
      <c r="I67" s="281" t="inlineStr">
        <is>
          <t>Total Hrs</t>
        </is>
      </c>
      <c r="J67" s="281" t="inlineStr">
        <is>
          <t>Days</t>
        </is>
      </c>
    </row>
    <row r="68">
      <c r="A68" s="289" t="inlineStr">
        <is>
          <t>Phase Hours</t>
        </is>
      </c>
      <c r="B68" s="290" t="inlineStr"/>
      <c r="C68" s="291">
        <f>$G$65*B14</f>
        <v/>
      </c>
      <c r="D68" s="291">
        <f>$G$65*C14</f>
        <v/>
      </c>
      <c r="E68" s="291">
        <f>$G$65*D14</f>
        <v/>
      </c>
      <c r="F68" s="291">
        <f>$G$65*E14</f>
        <v/>
      </c>
      <c r="G68" s="291">
        <f>$G$65*F14</f>
        <v/>
      </c>
      <c r="H68" s="291">
        <f>$G$65*G14</f>
        <v/>
      </c>
      <c r="I68" s="292">
        <f>SUM(C68:H68)</f>
        <v/>
      </c>
    </row>
    <row r="69">
      <c r="A69" s="274" t="inlineStr">
        <is>
          <t>IT Business Analyst/SME</t>
        </is>
      </c>
      <c r="B69" s="279">
        <f>INDEX('Project Portfolio'!$T:$T,MATCH($A$65,'Project Portfolio'!$A:$A,0))</f>
        <v/>
      </c>
      <c r="C69" s="283">
        <f>$G$65*B69*RM_Assumptions!B23</f>
        <v/>
      </c>
      <c r="D69" s="283">
        <f>$G$65*B69*RM_Assumptions!C23</f>
        <v/>
      </c>
      <c r="E69" s="283">
        <f>$G$65*B69*RM_Assumptions!D23</f>
        <v/>
      </c>
      <c r="F69" s="283">
        <f>$G$65*B69*RM_Assumptions!E23</f>
        <v/>
      </c>
      <c r="G69" s="283">
        <f>$G$65*B69*RM_Assumptions!F23</f>
        <v/>
      </c>
      <c r="H69" s="283">
        <f>$G$65*B69*RM_Assumptions!G23</f>
        <v/>
      </c>
      <c r="I69" s="293">
        <f>SUM(C69:H69)</f>
        <v/>
      </c>
      <c r="J69" s="283">
        <f>IFERROR(I69/($D$31*0.85)*5,0)</f>
        <v/>
      </c>
    </row>
    <row r="70">
      <c r="A70" s="274" t="inlineStr">
        <is>
          <t>Developer</t>
        </is>
      </c>
      <c r="B70" s="279">
        <f>INDEX('Project Portfolio'!$W:$W,MATCH($A$65,'Project Portfolio'!$A:$A,0))</f>
        <v/>
      </c>
      <c r="C70" s="283">
        <f>$G$65*B70*RM_Assumptions!B26</f>
        <v/>
      </c>
      <c r="D70" s="283">
        <f>$G$65*B70*RM_Assumptions!C26</f>
        <v/>
      </c>
      <c r="E70" s="283">
        <f>$G$65*B70*RM_Assumptions!D26</f>
        <v/>
      </c>
      <c r="F70" s="283">
        <f>$G$65*B70*RM_Assumptions!E26</f>
        <v/>
      </c>
      <c r="G70" s="283">
        <f>$G$65*B70*RM_Assumptions!F26</f>
        <v/>
      </c>
      <c r="H70" s="283">
        <f>$G$65*B70*RM_Assumptions!G26</f>
        <v/>
      </c>
      <c r="I70" s="293">
        <f>SUM(C70:H70)</f>
        <v/>
      </c>
      <c r="J70" s="283">
        <f>IFERROR(I70/($D$34*0.85)*5,0)</f>
        <v/>
      </c>
    </row>
    <row r="71">
      <c r="A71" s="277" t="inlineStr">
        <is>
          <t>TOTAL</t>
        </is>
      </c>
      <c r="B71" s="294" t="inlineStr"/>
      <c r="C71" s="295">
        <f>SUM(C69:C70)</f>
        <v/>
      </c>
      <c r="D71" s="295">
        <f>SUM(D69:D70)</f>
        <v/>
      </c>
      <c r="E71" s="295">
        <f>SUM(E69:E70)</f>
        <v/>
      </c>
      <c r="F71" s="295">
        <f>SUM(F69:F70)</f>
        <v/>
      </c>
      <c r="G71" s="295">
        <f>SUM(G69:G70)</f>
        <v/>
      </c>
      <c r="H71" s="295">
        <f>SUM(H69:H70)</f>
        <v/>
      </c>
      <c r="I71" s="296">
        <f>SUM(I69:I70)</f>
        <v/>
      </c>
    </row>
    <row r="72">
      <c r="A72" s="287" t="inlineStr">
        <is>
          <t>Reconciliation</t>
        </is>
      </c>
      <c r="B72" s="290">
        <f>"Est: "&amp;TEXT($G$65,"#,##0")&amp;" hrs"</f>
        <v/>
      </c>
      <c r="C72" s="290">
        <f>"Alloc: "&amp;TEXT(I71,"#,##0.0")&amp;" hrs"</f>
        <v/>
      </c>
      <c r="D72" s="287">
        <f>IF(ABS($G$65-I71)&lt;0.5,"RECONCILED","GAP: "&amp;TEXT($G$65-I71,"+#,##0.0;-#,##0.0")&amp;" hrs")</f>
        <v/>
      </c>
    </row>
    <row r="73">
      <c r="A73" s="287" t="inlineStr">
        <is>
          <t>Phase Duration (days)</t>
        </is>
      </c>
      <c r="B73" s="290" t="inlineStr"/>
      <c r="C73" s="297">
        <f>MAX(IFERROR(C69/($D$31*0.85),0),IFERROR(C70/($D$34*0.85),0))*5</f>
        <v/>
      </c>
      <c r="D73" s="297">
        <f>MAX(IFERROR(D69/($D$31*0.85),0),IFERROR(D70/($D$34*0.85),0))*5</f>
        <v/>
      </c>
      <c r="E73" s="297">
        <f>MAX(IFERROR(E69/($D$31*0.85),0),IFERROR(E70/($D$34*0.85),0))*5</f>
        <v/>
      </c>
      <c r="F73" s="297">
        <f>MAX(IFERROR(F69/($D$31*0.85),0),IFERROR(F70/($D$34*0.85),0))*5</f>
        <v/>
      </c>
      <c r="G73" s="297">
        <f>MAX(IFERROR(G69/($D$31*0.85),0),IFERROR(G70/($D$34*0.85),0))*5</f>
        <v/>
      </c>
      <c r="H73" s="297">
        <f>MAX(IFERROR(H69/($D$31*0.85),0),IFERROR(H70/($D$34*0.85),0))*5</f>
        <v/>
      </c>
      <c r="I73" s="296">
        <f>SUM(C73:H73)</f>
        <v/>
      </c>
      <c r="J73" s="287">
        <f>"Total: "&amp;TEXT(I73,"0.0")&amp;" days"</f>
        <v/>
      </c>
    </row>
    <row r="75">
      <c r="A75" s="286" t="inlineStr">
        <is>
          <t>ETE-68</t>
        </is>
      </c>
      <c r="B75" s="286">
        <f>INDEX('Project Portfolio'!$B:$B,MATCH($A75,'Project Portfolio'!$A:$A,0))</f>
        <v/>
      </c>
      <c r="D75" s="271" t="inlineStr">
        <is>
          <t>Priority:</t>
        </is>
      </c>
      <c r="E75" s="287">
        <f>INDEX('Project Portfolio'!$H:$H,MATCH($A75,'Project Portfolio'!$A:$A,0))</f>
        <v/>
      </c>
      <c r="F75" s="271" t="inlineStr">
        <is>
          <t>Est Hrs:</t>
        </is>
      </c>
      <c r="G75" s="288">
        <f>INDEX('Project Portfolio'!$R:$R,MATCH($A75,'Project Portfolio'!$A:$A,0))</f>
        <v/>
      </c>
    </row>
    <row r="77">
      <c r="A77" s="281" t="inlineStr"/>
      <c r="B77" s="281" t="inlineStr">
        <is>
          <t>Alloc %</t>
        </is>
      </c>
      <c r="C77" s="281" t="inlineStr">
        <is>
          <t>Discovery</t>
        </is>
      </c>
      <c r="D77" s="281" t="inlineStr">
        <is>
          <t>Planning</t>
        </is>
      </c>
      <c r="E77" s="281" t="inlineStr">
        <is>
          <t>Design</t>
        </is>
      </c>
      <c r="F77" s="281" t="inlineStr">
        <is>
          <t>Build</t>
        </is>
      </c>
      <c r="G77" s="281" t="inlineStr">
        <is>
          <t>Test</t>
        </is>
      </c>
      <c r="H77" s="281" t="inlineStr">
        <is>
          <t>Deploy/Hypercare</t>
        </is>
      </c>
      <c r="I77" s="281" t="inlineStr">
        <is>
          <t>Total Hrs</t>
        </is>
      </c>
      <c r="J77" s="281" t="inlineStr">
        <is>
          <t>Days</t>
        </is>
      </c>
    </row>
    <row r="78">
      <c r="A78" s="289" t="inlineStr">
        <is>
          <t>Phase Hours</t>
        </is>
      </c>
      <c r="B78" s="290" t="inlineStr"/>
      <c r="C78" s="291">
        <f>$G$75*B14</f>
        <v/>
      </c>
      <c r="D78" s="291">
        <f>$G$75*C14</f>
        <v/>
      </c>
      <c r="E78" s="291">
        <f>$G$75*D14</f>
        <v/>
      </c>
      <c r="F78" s="291">
        <f>$G$75*E14</f>
        <v/>
      </c>
      <c r="G78" s="291">
        <f>$G$75*F14</f>
        <v/>
      </c>
      <c r="H78" s="291">
        <f>$G$75*G14</f>
        <v/>
      </c>
      <c r="I78" s="292">
        <f>SUM(C78:H78)</f>
        <v/>
      </c>
    </row>
    <row r="79">
      <c r="A79" s="274" t="inlineStr">
        <is>
          <t>IT Business Analyst/SME</t>
        </is>
      </c>
      <c r="B79" s="279">
        <f>INDEX('Project Portfolio'!$T:$T,MATCH($A$75,'Project Portfolio'!$A:$A,0))</f>
        <v/>
      </c>
      <c r="C79" s="283">
        <f>$G$75*B79*RM_Assumptions!B23</f>
        <v/>
      </c>
      <c r="D79" s="283">
        <f>$G$75*B79*RM_Assumptions!C23</f>
        <v/>
      </c>
      <c r="E79" s="283">
        <f>$G$75*B79*RM_Assumptions!D23</f>
        <v/>
      </c>
      <c r="F79" s="283">
        <f>$G$75*B79*RM_Assumptions!E23</f>
        <v/>
      </c>
      <c r="G79" s="283">
        <f>$G$75*B79*RM_Assumptions!F23</f>
        <v/>
      </c>
      <c r="H79" s="283">
        <f>$G$75*B79*RM_Assumptions!G23</f>
        <v/>
      </c>
      <c r="I79" s="293">
        <f>SUM(C79:H79)</f>
        <v/>
      </c>
      <c r="J79" s="283">
        <f>IFERROR(I79/($D$31*0.85)*5,0)</f>
        <v/>
      </c>
    </row>
    <row r="80">
      <c r="A80" s="274" t="inlineStr">
        <is>
          <t>Developer</t>
        </is>
      </c>
      <c r="B80" s="279">
        <f>INDEX('Project Portfolio'!$W:$W,MATCH($A$75,'Project Portfolio'!$A:$A,0))</f>
        <v/>
      </c>
      <c r="C80" s="283">
        <f>$G$75*B80*RM_Assumptions!B26</f>
        <v/>
      </c>
      <c r="D80" s="283">
        <f>$G$75*B80*RM_Assumptions!C26</f>
        <v/>
      </c>
      <c r="E80" s="283">
        <f>$G$75*B80*RM_Assumptions!D26</f>
        <v/>
      </c>
      <c r="F80" s="283">
        <f>$G$75*B80*RM_Assumptions!E26</f>
        <v/>
      </c>
      <c r="G80" s="283">
        <f>$G$75*B80*RM_Assumptions!F26</f>
        <v/>
      </c>
      <c r="H80" s="283">
        <f>$G$75*B80*RM_Assumptions!G26</f>
        <v/>
      </c>
      <c r="I80" s="293">
        <f>SUM(C80:H80)</f>
        <v/>
      </c>
      <c r="J80" s="283">
        <f>IFERROR(I80/($D$34*0.85)*5,0)</f>
        <v/>
      </c>
    </row>
    <row r="81">
      <c r="A81" s="277" t="inlineStr">
        <is>
          <t>TOTAL</t>
        </is>
      </c>
      <c r="B81" s="294" t="inlineStr"/>
      <c r="C81" s="295">
        <f>SUM(C79:C80)</f>
        <v/>
      </c>
      <c r="D81" s="295">
        <f>SUM(D79:D80)</f>
        <v/>
      </c>
      <c r="E81" s="295">
        <f>SUM(E79:E80)</f>
        <v/>
      </c>
      <c r="F81" s="295">
        <f>SUM(F79:F80)</f>
        <v/>
      </c>
      <c r="G81" s="295">
        <f>SUM(G79:G80)</f>
        <v/>
      </c>
      <c r="H81" s="295">
        <f>SUM(H79:H80)</f>
        <v/>
      </c>
      <c r="I81" s="296">
        <f>SUM(I79:I80)</f>
        <v/>
      </c>
    </row>
    <row r="82">
      <c r="A82" s="287" t="inlineStr">
        <is>
          <t>Reconciliation</t>
        </is>
      </c>
      <c r="B82" s="290">
        <f>"Est: "&amp;TEXT($G$75,"#,##0")&amp;" hrs"</f>
        <v/>
      </c>
      <c r="C82" s="290">
        <f>"Alloc: "&amp;TEXT(I81,"#,##0.0")&amp;" hrs"</f>
        <v/>
      </c>
      <c r="D82" s="287">
        <f>IF(ABS($G$75-I81)&lt;0.5,"RECONCILED","GAP: "&amp;TEXT($G$75-I81,"+#,##0.0;-#,##0.0")&amp;" hrs")</f>
        <v/>
      </c>
    </row>
    <row r="83">
      <c r="A83" s="287" t="inlineStr">
        <is>
          <t>Phase Duration (days)</t>
        </is>
      </c>
      <c r="B83" s="290" t="inlineStr"/>
      <c r="C83" s="297">
        <f>MAX(IFERROR(C79/($D$31*0.85),0),IFERROR(C80/($D$34*0.85),0))*5</f>
        <v/>
      </c>
      <c r="D83" s="297">
        <f>MAX(IFERROR(D79/($D$31*0.85),0),IFERROR(D80/($D$34*0.85),0))*5</f>
        <v/>
      </c>
      <c r="E83" s="297">
        <f>MAX(IFERROR(E79/($D$31*0.85),0),IFERROR(E80/($D$34*0.85),0))*5</f>
        <v/>
      </c>
      <c r="F83" s="297">
        <f>MAX(IFERROR(F79/($D$31*0.85),0),IFERROR(F80/($D$34*0.85),0))*5</f>
        <v/>
      </c>
      <c r="G83" s="297">
        <f>MAX(IFERROR(G79/($D$31*0.85),0),IFERROR(G80/($D$34*0.85),0))*5</f>
        <v/>
      </c>
      <c r="H83" s="297">
        <f>MAX(IFERROR(H79/($D$31*0.85),0),IFERROR(H80/($D$34*0.85),0))*5</f>
        <v/>
      </c>
      <c r="I83" s="296">
        <f>SUM(C83:H83)</f>
        <v/>
      </c>
      <c r="J83" s="287">
        <f>"Total: "&amp;TEXT(I83,"0.0")&amp;" days"</f>
        <v/>
      </c>
    </row>
    <row r="85">
      <c r="A85" s="286" t="inlineStr">
        <is>
          <t>ETE-19</t>
        </is>
      </c>
      <c r="B85" s="286">
        <f>INDEX('Project Portfolio'!$B:$B,MATCH($A85,'Project Portfolio'!$A:$A,0))</f>
        <v/>
      </c>
      <c r="D85" s="271" t="inlineStr">
        <is>
          <t>Priority:</t>
        </is>
      </c>
      <c r="E85" s="287">
        <f>INDEX('Project Portfolio'!$H:$H,MATCH($A85,'Project Portfolio'!$A:$A,0))</f>
        <v/>
      </c>
      <c r="F85" s="271" t="inlineStr">
        <is>
          <t>Est Hrs:</t>
        </is>
      </c>
      <c r="G85" s="288">
        <f>INDEX('Project Portfolio'!$R:$R,MATCH($A85,'Project Portfolio'!$A:$A,0))</f>
        <v/>
      </c>
    </row>
    <row r="87">
      <c r="A87" s="281" t="inlineStr"/>
      <c r="B87" s="281" t="inlineStr">
        <is>
          <t>Alloc %</t>
        </is>
      </c>
      <c r="C87" s="281" t="inlineStr">
        <is>
          <t>Discovery</t>
        </is>
      </c>
      <c r="D87" s="281" t="inlineStr">
        <is>
          <t>Planning</t>
        </is>
      </c>
      <c r="E87" s="281" t="inlineStr">
        <is>
          <t>Design</t>
        </is>
      </c>
      <c r="F87" s="281" t="inlineStr">
        <is>
          <t>Build</t>
        </is>
      </c>
      <c r="G87" s="281" t="inlineStr">
        <is>
          <t>Test</t>
        </is>
      </c>
      <c r="H87" s="281" t="inlineStr">
        <is>
          <t>Deploy/Hypercare</t>
        </is>
      </c>
      <c r="I87" s="281" t="inlineStr">
        <is>
          <t>Total Hrs</t>
        </is>
      </c>
      <c r="J87" s="281" t="inlineStr">
        <is>
          <t>Days</t>
        </is>
      </c>
    </row>
    <row r="88">
      <c r="A88" s="289" t="inlineStr">
        <is>
          <t>Phase Hours</t>
        </is>
      </c>
      <c r="B88" s="290" t="inlineStr"/>
      <c r="C88" s="291">
        <f>$G$85*B14</f>
        <v/>
      </c>
      <c r="D88" s="291">
        <f>$G$85*C14</f>
        <v/>
      </c>
      <c r="E88" s="291">
        <f>$G$85*D14</f>
        <v/>
      </c>
      <c r="F88" s="291">
        <f>$G$85*E14</f>
        <v/>
      </c>
      <c r="G88" s="291">
        <f>$G$85*F14</f>
        <v/>
      </c>
      <c r="H88" s="291">
        <f>$G$85*G14</f>
        <v/>
      </c>
      <c r="I88" s="292">
        <f>SUM(C88:H88)</f>
        <v/>
      </c>
    </row>
    <row r="89">
      <c r="A89" s="274" t="inlineStr">
        <is>
          <t>IT Business Analyst/SME</t>
        </is>
      </c>
      <c r="B89" s="279">
        <f>INDEX('Project Portfolio'!$T:$T,MATCH($A$85,'Project Portfolio'!$A:$A,0))</f>
        <v/>
      </c>
      <c r="C89" s="283">
        <f>$G$85*B89*RM_Assumptions!B23</f>
        <v/>
      </c>
      <c r="D89" s="283">
        <f>$G$85*B89*RM_Assumptions!C23</f>
        <v/>
      </c>
      <c r="E89" s="283">
        <f>$G$85*B89*RM_Assumptions!D23</f>
        <v/>
      </c>
      <c r="F89" s="283">
        <f>$G$85*B89*RM_Assumptions!E23</f>
        <v/>
      </c>
      <c r="G89" s="283">
        <f>$G$85*B89*RM_Assumptions!F23</f>
        <v/>
      </c>
      <c r="H89" s="283">
        <f>$G$85*B89*RM_Assumptions!G23</f>
        <v/>
      </c>
      <c r="I89" s="293">
        <f>SUM(C89:H89)</f>
        <v/>
      </c>
      <c r="J89" s="283">
        <f>IFERROR(I89/($D$31*0.85)*5,0)</f>
        <v/>
      </c>
    </row>
    <row r="90">
      <c r="A90" s="274" t="inlineStr">
        <is>
          <t>IT Functional Analyst</t>
        </is>
      </c>
      <c r="B90" s="279">
        <f>INDEX('Project Portfolio'!$U:$U,MATCH($A$85,'Project Portfolio'!$A:$A,0))</f>
        <v/>
      </c>
      <c r="C90" s="283">
        <f>$G$85*B90*RM_Assumptions!B24</f>
        <v/>
      </c>
      <c r="D90" s="283">
        <f>$G$85*B90*RM_Assumptions!C24</f>
        <v/>
      </c>
      <c r="E90" s="283">
        <f>$G$85*B90*RM_Assumptions!D24</f>
        <v/>
      </c>
      <c r="F90" s="283">
        <f>$G$85*B90*RM_Assumptions!E24</f>
        <v/>
      </c>
      <c r="G90" s="283">
        <f>$G$85*B90*RM_Assumptions!F24</f>
        <v/>
      </c>
      <c r="H90" s="283">
        <f>$G$85*B90*RM_Assumptions!G24</f>
        <v/>
      </c>
      <c r="I90" s="293">
        <f>SUM(C90:H90)</f>
        <v/>
      </c>
      <c r="J90" s="283">
        <f>IFERROR(I90/($D$32*0.85)*5,0)</f>
        <v/>
      </c>
    </row>
    <row r="91">
      <c r="A91" s="274" t="inlineStr">
        <is>
          <t>IT Tech Analyst/Developer</t>
        </is>
      </c>
      <c r="B91" s="279">
        <f>INDEX('Project Portfolio'!$V:$V,MATCH($A$85,'Project Portfolio'!$A:$A,0))</f>
        <v/>
      </c>
      <c r="C91" s="283">
        <f>$G$85*B91*RM_Assumptions!B25</f>
        <v/>
      </c>
      <c r="D91" s="283">
        <f>$G$85*B91*RM_Assumptions!C25</f>
        <v/>
      </c>
      <c r="E91" s="283">
        <f>$G$85*B91*RM_Assumptions!D25</f>
        <v/>
      </c>
      <c r="F91" s="283">
        <f>$G$85*B91*RM_Assumptions!E25</f>
        <v/>
      </c>
      <c r="G91" s="283">
        <f>$G$85*B91*RM_Assumptions!F25</f>
        <v/>
      </c>
      <c r="H91" s="283">
        <f>$G$85*B91*RM_Assumptions!G25</f>
        <v/>
      </c>
      <c r="I91" s="293">
        <f>SUM(C91:H91)</f>
        <v/>
      </c>
      <c r="J91" s="283">
        <f>IFERROR(I91/($D$33*0.85)*5,0)</f>
        <v/>
      </c>
    </row>
    <row r="92">
      <c r="A92" s="277" t="inlineStr">
        <is>
          <t>TOTAL</t>
        </is>
      </c>
      <c r="B92" s="294" t="inlineStr"/>
      <c r="C92" s="295">
        <f>SUM(C89:C91)</f>
        <v/>
      </c>
      <c r="D92" s="295">
        <f>SUM(D89:D91)</f>
        <v/>
      </c>
      <c r="E92" s="295">
        <f>SUM(E89:E91)</f>
        <v/>
      </c>
      <c r="F92" s="295">
        <f>SUM(F89:F91)</f>
        <v/>
      </c>
      <c r="G92" s="295">
        <f>SUM(G89:G91)</f>
        <v/>
      </c>
      <c r="H92" s="295">
        <f>SUM(H89:H91)</f>
        <v/>
      </c>
      <c r="I92" s="296">
        <f>SUM(I89:I91)</f>
        <v/>
      </c>
    </row>
    <row r="93">
      <c r="A93" s="287" t="inlineStr">
        <is>
          <t>Reconciliation</t>
        </is>
      </c>
      <c r="B93" s="290">
        <f>"Est: "&amp;TEXT($G$85,"#,##0")&amp;" hrs"</f>
        <v/>
      </c>
      <c r="C93" s="290">
        <f>"Alloc: "&amp;TEXT(I92,"#,##0.0")&amp;" hrs"</f>
        <v/>
      </c>
      <c r="D93" s="287">
        <f>IF(ABS($G$85-I92)&lt;0.5,"RECONCILED","GAP: "&amp;TEXT($G$85-I92,"+#,##0.0;-#,##0.0")&amp;" hrs")</f>
        <v/>
      </c>
    </row>
    <row r="94">
      <c r="A94" s="287" t="inlineStr">
        <is>
          <t>Phase Duration (days)</t>
        </is>
      </c>
      <c r="B94" s="290" t="inlineStr"/>
      <c r="C94" s="297">
        <f>MAX(IFERROR(C89/($D$31*0.85),0),IFERROR(C90/($D$32*0.85),0),IFERROR(C91/($D$33*0.85),0))*5</f>
        <v/>
      </c>
      <c r="D94" s="297">
        <f>MAX(IFERROR(D89/($D$31*0.85),0),IFERROR(D90/($D$32*0.85),0),IFERROR(D91/($D$33*0.85),0))*5</f>
        <v/>
      </c>
      <c r="E94" s="297">
        <f>MAX(IFERROR(E89/($D$31*0.85),0),IFERROR(E90/($D$32*0.85),0),IFERROR(E91/($D$33*0.85),0))*5</f>
        <v/>
      </c>
      <c r="F94" s="297">
        <f>MAX(IFERROR(F89/($D$31*0.85),0),IFERROR(F90/($D$32*0.85),0),IFERROR(F91/($D$33*0.85),0))*5</f>
        <v/>
      </c>
      <c r="G94" s="297">
        <f>MAX(IFERROR(G89/($D$31*0.85),0),IFERROR(G90/($D$32*0.85),0),IFERROR(G91/($D$33*0.85),0))*5</f>
        <v/>
      </c>
      <c r="H94" s="297">
        <f>MAX(IFERROR(H89/($D$31*0.85),0),IFERROR(H90/($D$32*0.85),0),IFERROR(H91/($D$33*0.85),0))*5</f>
        <v/>
      </c>
      <c r="I94" s="296">
        <f>SUM(C94:H94)</f>
        <v/>
      </c>
      <c r="J94" s="287">
        <f>"Total: "&amp;TEXT(I94,"0.0")&amp;" days"</f>
        <v/>
      </c>
    </row>
    <row r="96">
      <c r="A96" s="286" t="inlineStr">
        <is>
          <t>ETE-83</t>
        </is>
      </c>
      <c r="B96" s="286">
        <f>INDEX('Project Portfolio'!$B:$B,MATCH($A96,'Project Portfolio'!$A:$A,0))</f>
        <v/>
      </c>
      <c r="D96" s="271" t="inlineStr">
        <is>
          <t>Priority:</t>
        </is>
      </c>
      <c r="E96" s="287">
        <f>INDEX('Project Portfolio'!$H:$H,MATCH($A96,'Project Portfolio'!$A:$A,0))</f>
        <v/>
      </c>
      <c r="F96" s="271" t="inlineStr">
        <is>
          <t>Est Hrs:</t>
        </is>
      </c>
      <c r="G96" s="288">
        <f>INDEX('Project Portfolio'!$R:$R,MATCH($A96,'Project Portfolio'!$A:$A,0))</f>
        <v/>
      </c>
    </row>
    <row r="98">
      <c r="A98" s="281" t="inlineStr"/>
      <c r="B98" s="281" t="inlineStr">
        <is>
          <t>Alloc %</t>
        </is>
      </c>
      <c r="C98" s="281" t="inlineStr">
        <is>
          <t>Discovery</t>
        </is>
      </c>
      <c r="D98" s="281" t="inlineStr">
        <is>
          <t>Planning</t>
        </is>
      </c>
      <c r="E98" s="281" t="inlineStr">
        <is>
          <t>Design</t>
        </is>
      </c>
      <c r="F98" s="281" t="inlineStr">
        <is>
          <t>Build</t>
        </is>
      </c>
      <c r="G98" s="281" t="inlineStr">
        <is>
          <t>Test</t>
        </is>
      </c>
      <c r="H98" s="281" t="inlineStr">
        <is>
          <t>Deploy/Hypercare</t>
        </is>
      </c>
      <c r="I98" s="281" t="inlineStr">
        <is>
          <t>Total Hrs</t>
        </is>
      </c>
      <c r="J98" s="281" t="inlineStr">
        <is>
          <t>Days</t>
        </is>
      </c>
    </row>
    <row r="99">
      <c r="A99" s="289" t="inlineStr">
        <is>
          <t>Phase Hours</t>
        </is>
      </c>
      <c r="B99" s="290" t="inlineStr"/>
      <c r="C99" s="291">
        <f>$G$96*B14</f>
        <v/>
      </c>
      <c r="D99" s="291">
        <f>$G$96*C14</f>
        <v/>
      </c>
      <c r="E99" s="291">
        <f>$G$96*D14</f>
        <v/>
      </c>
      <c r="F99" s="291">
        <f>$G$96*E14</f>
        <v/>
      </c>
      <c r="G99" s="291">
        <f>$G$96*F14</f>
        <v/>
      </c>
      <c r="H99" s="291">
        <f>$G$96*G14</f>
        <v/>
      </c>
      <c r="I99" s="292">
        <f>SUM(C99:H99)</f>
        <v/>
      </c>
    </row>
    <row r="100">
      <c r="A100" s="274" t="inlineStr">
        <is>
          <t>IT Business Analyst/SME</t>
        </is>
      </c>
      <c r="B100" s="279">
        <f>INDEX('Project Portfolio'!$T:$T,MATCH($A$96,'Project Portfolio'!$A:$A,0))</f>
        <v/>
      </c>
      <c r="C100" s="283">
        <f>$G$96*B100*RM_Assumptions!B23</f>
        <v/>
      </c>
      <c r="D100" s="283">
        <f>$G$96*B100*RM_Assumptions!C23</f>
        <v/>
      </c>
      <c r="E100" s="283">
        <f>$G$96*B100*RM_Assumptions!D23</f>
        <v/>
      </c>
      <c r="F100" s="283">
        <f>$G$96*B100*RM_Assumptions!E23</f>
        <v/>
      </c>
      <c r="G100" s="283">
        <f>$G$96*B100*RM_Assumptions!F23</f>
        <v/>
      </c>
      <c r="H100" s="283">
        <f>$G$96*B100*RM_Assumptions!G23</f>
        <v/>
      </c>
      <c r="I100" s="293">
        <f>SUM(C100:H100)</f>
        <v/>
      </c>
      <c r="J100" s="283">
        <f>IFERROR(I100/($D$31*0.85)*5,0)</f>
        <v/>
      </c>
    </row>
    <row r="101">
      <c r="A101" s="277" t="inlineStr">
        <is>
          <t>TOTAL</t>
        </is>
      </c>
      <c r="B101" s="294" t="inlineStr"/>
      <c r="C101" s="295">
        <f>SUM(C100:C100)</f>
        <v/>
      </c>
      <c r="D101" s="295">
        <f>SUM(D100:D100)</f>
        <v/>
      </c>
      <c r="E101" s="295">
        <f>SUM(E100:E100)</f>
        <v/>
      </c>
      <c r="F101" s="295">
        <f>SUM(F100:F100)</f>
        <v/>
      </c>
      <c r="G101" s="295">
        <f>SUM(G100:G100)</f>
        <v/>
      </c>
      <c r="H101" s="295">
        <f>SUM(H100:H100)</f>
        <v/>
      </c>
      <c r="I101" s="296">
        <f>SUM(I100:I100)</f>
        <v/>
      </c>
    </row>
    <row r="102">
      <c r="A102" s="287" t="inlineStr">
        <is>
          <t>Reconciliation</t>
        </is>
      </c>
      <c r="B102" s="290">
        <f>"Est: "&amp;TEXT($G$96,"#,##0")&amp;" hrs"</f>
        <v/>
      </c>
      <c r="C102" s="290">
        <f>"Alloc: "&amp;TEXT(I101,"#,##0.0")&amp;" hrs"</f>
        <v/>
      </c>
      <c r="D102" s="287">
        <f>IF(ABS($G$96-I101)&lt;0.5,"RECONCILED","GAP: "&amp;TEXT($G$96-I101,"+#,##0.0;-#,##0.0")&amp;" hrs")</f>
        <v/>
      </c>
    </row>
    <row r="103">
      <c r="A103" s="287" t="inlineStr">
        <is>
          <t>Phase Duration (days)</t>
        </is>
      </c>
      <c r="B103" s="290" t="inlineStr"/>
      <c r="C103" s="297">
        <f>MAX(IFERROR(C100/($D$31*0.85),0))*5</f>
        <v/>
      </c>
      <c r="D103" s="297">
        <f>MAX(IFERROR(D100/($D$31*0.85),0))*5</f>
        <v/>
      </c>
      <c r="E103" s="297">
        <f>MAX(IFERROR(E100/($D$31*0.85),0))*5</f>
        <v/>
      </c>
      <c r="F103" s="297">
        <f>MAX(IFERROR(F100/($D$31*0.85),0))*5</f>
        <v/>
      </c>
      <c r="G103" s="297">
        <f>MAX(IFERROR(G100/($D$31*0.85),0))*5</f>
        <v/>
      </c>
      <c r="H103" s="297">
        <f>MAX(IFERROR(H100/($D$31*0.85),0))*5</f>
        <v/>
      </c>
      <c r="I103" s="296">
        <f>SUM(C103:H103)</f>
        <v/>
      </c>
      <c r="J103" s="287">
        <f>"Total: "&amp;TEXT(I103,"0.0")&amp;" days"</f>
        <v/>
      </c>
    </row>
    <row r="105">
      <c r="A105" s="286" t="inlineStr">
        <is>
          <t>ETE-48</t>
        </is>
      </c>
      <c r="B105" s="286">
        <f>INDEX('Project Portfolio'!$B:$B,MATCH($A105,'Project Portfolio'!$A:$A,0))</f>
        <v/>
      </c>
      <c r="D105" s="271" t="inlineStr">
        <is>
          <t>Priority:</t>
        </is>
      </c>
      <c r="E105" s="287">
        <f>INDEX('Project Portfolio'!$H:$H,MATCH($A105,'Project Portfolio'!$A:$A,0))</f>
        <v/>
      </c>
      <c r="F105" s="271" t="inlineStr">
        <is>
          <t>Est Hrs:</t>
        </is>
      </c>
      <c r="G105" s="288">
        <f>INDEX('Project Portfolio'!$R:$R,MATCH($A105,'Project Portfolio'!$A:$A,0))</f>
        <v/>
      </c>
    </row>
    <row r="107">
      <c r="A107" s="281" t="inlineStr"/>
      <c r="B107" s="281" t="inlineStr">
        <is>
          <t>Alloc %</t>
        </is>
      </c>
      <c r="C107" s="281" t="inlineStr">
        <is>
          <t>Discovery</t>
        </is>
      </c>
      <c r="D107" s="281" t="inlineStr">
        <is>
          <t>Planning</t>
        </is>
      </c>
      <c r="E107" s="281" t="inlineStr">
        <is>
          <t>Design</t>
        </is>
      </c>
      <c r="F107" s="281" t="inlineStr">
        <is>
          <t>Build</t>
        </is>
      </c>
      <c r="G107" s="281" t="inlineStr">
        <is>
          <t>Test</t>
        </is>
      </c>
      <c r="H107" s="281" t="inlineStr">
        <is>
          <t>Deploy/Hypercare</t>
        </is>
      </c>
      <c r="I107" s="281" t="inlineStr">
        <is>
          <t>Total Hrs</t>
        </is>
      </c>
      <c r="J107" s="281" t="inlineStr">
        <is>
          <t>Days</t>
        </is>
      </c>
    </row>
    <row r="108">
      <c r="A108" s="289" t="inlineStr">
        <is>
          <t>Phase Hours</t>
        </is>
      </c>
      <c r="B108" s="290" t="inlineStr"/>
      <c r="C108" s="291">
        <f>$G$105*B14</f>
        <v/>
      </c>
      <c r="D108" s="291">
        <f>$G$105*C14</f>
        <v/>
      </c>
      <c r="E108" s="291">
        <f>$G$105*D14</f>
        <v/>
      </c>
      <c r="F108" s="291">
        <f>$G$105*E14</f>
        <v/>
      </c>
      <c r="G108" s="291">
        <f>$G$105*F14</f>
        <v/>
      </c>
      <c r="H108" s="291">
        <f>$G$105*G14</f>
        <v/>
      </c>
      <c r="I108" s="292">
        <f>SUM(C108:H108)</f>
        <v/>
      </c>
    </row>
    <row r="109">
      <c r="A109" s="274" t="inlineStr">
        <is>
          <t>Project Manager</t>
        </is>
      </c>
      <c r="B109" s="279">
        <f>INDEX('Project Portfolio'!$Z:$Z,MATCH($A$105,'Project Portfolio'!$A:$A,0))</f>
        <v/>
      </c>
      <c r="C109" s="283">
        <f>$G$105*B109*RM_Assumptions!B21</f>
        <v/>
      </c>
      <c r="D109" s="283">
        <f>$G$105*B109*RM_Assumptions!C21</f>
        <v/>
      </c>
      <c r="E109" s="283">
        <f>$G$105*B109*RM_Assumptions!D21</f>
        <v/>
      </c>
      <c r="F109" s="283">
        <f>$G$105*B109*RM_Assumptions!E21</f>
        <v/>
      </c>
      <c r="G109" s="283">
        <f>$G$105*B109*RM_Assumptions!F21</f>
        <v/>
      </c>
      <c r="H109" s="283">
        <f>$G$105*B109*RM_Assumptions!G21</f>
        <v/>
      </c>
      <c r="I109" s="293">
        <f>SUM(C109:H109)</f>
        <v/>
      </c>
      <c r="J109" s="283">
        <f>IFERROR(I109/($D$29*0.85)*5,0)</f>
        <v/>
      </c>
    </row>
    <row r="110">
      <c r="A110" s="274" t="inlineStr">
        <is>
          <t>IT Business Analyst/SME</t>
        </is>
      </c>
      <c r="B110" s="279">
        <f>INDEX('Project Portfolio'!$T:$T,MATCH($A$105,'Project Portfolio'!$A:$A,0))</f>
        <v/>
      </c>
      <c r="C110" s="283">
        <f>$G$105*B110*RM_Assumptions!B23</f>
        <v/>
      </c>
      <c r="D110" s="283">
        <f>$G$105*B110*RM_Assumptions!C23</f>
        <v/>
      </c>
      <c r="E110" s="283">
        <f>$G$105*B110*RM_Assumptions!D23</f>
        <v/>
      </c>
      <c r="F110" s="283">
        <f>$G$105*B110*RM_Assumptions!E23</f>
        <v/>
      </c>
      <c r="G110" s="283">
        <f>$G$105*B110*RM_Assumptions!F23</f>
        <v/>
      </c>
      <c r="H110" s="283">
        <f>$G$105*B110*RM_Assumptions!G23</f>
        <v/>
      </c>
      <c r="I110" s="293">
        <f>SUM(C110:H110)</f>
        <v/>
      </c>
      <c r="J110" s="283">
        <f>IFERROR(I110/($D$31*0.85)*5,0)</f>
        <v/>
      </c>
    </row>
    <row r="111">
      <c r="A111" s="277" t="inlineStr">
        <is>
          <t>TOTAL</t>
        </is>
      </c>
      <c r="B111" s="294" t="inlineStr"/>
      <c r="C111" s="295">
        <f>SUM(C109:C110)</f>
        <v/>
      </c>
      <c r="D111" s="295">
        <f>SUM(D109:D110)</f>
        <v/>
      </c>
      <c r="E111" s="295">
        <f>SUM(E109:E110)</f>
        <v/>
      </c>
      <c r="F111" s="295">
        <f>SUM(F109:F110)</f>
        <v/>
      </c>
      <c r="G111" s="295">
        <f>SUM(G109:G110)</f>
        <v/>
      </c>
      <c r="H111" s="295">
        <f>SUM(H109:H110)</f>
        <v/>
      </c>
      <c r="I111" s="296">
        <f>SUM(I109:I110)</f>
        <v/>
      </c>
    </row>
    <row r="112">
      <c r="A112" s="287" t="inlineStr">
        <is>
          <t>Reconciliation</t>
        </is>
      </c>
      <c r="B112" s="290">
        <f>"Est: "&amp;TEXT($G$105,"#,##0")&amp;" hrs"</f>
        <v/>
      </c>
      <c r="C112" s="290">
        <f>"Alloc: "&amp;TEXT(I111,"#,##0.0")&amp;" hrs"</f>
        <v/>
      </c>
      <c r="D112" s="287">
        <f>IF(ABS($G$105-I111)&lt;0.5,"RECONCILED","GAP: "&amp;TEXT($G$105-I111,"+#,##0.0;-#,##0.0")&amp;" hrs")</f>
        <v/>
      </c>
    </row>
    <row r="113">
      <c r="A113" s="287" t="inlineStr">
        <is>
          <t>Phase Duration (days)</t>
        </is>
      </c>
      <c r="B113" s="290" t="inlineStr"/>
      <c r="C113" s="297">
        <f>MAX(IFERROR(C109/($D$29*0.85),0),IFERROR(C110/($D$31*0.85),0))*5</f>
        <v/>
      </c>
      <c r="D113" s="297">
        <f>MAX(IFERROR(D109/($D$29*0.85),0),IFERROR(D110/($D$31*0.85),0))*5</f>
        <v/>
      </c>
      <c r="E113" s="297">
        <f>MAX(IFERROR(E109/($D$29*0.85),0),IFERROR(E110/($D$31*0.85),0))*5</f>
        <v/>
      </c>
      <c r="F113" s="297">
        <f>MAX(IFERROR(F109/($D$29*0.85),0),IFERROR(F110/($D$31*0.85),0))*5</f>
        <v/>
      </c>
      <c r="G113" s="297">
        <f>MAX(IFERROR(G109/($D$29*0.85),0),IFERROR(G110/($D$31*0.85),0))*5</f>
        <v/>
      </c>
      <c r="H113" s="297">
        <f>MAX(IFERROR(H109/($D$29*0.85),0),IFERROR(H110/($D$31*0.85),0))*5</f>
        <v/>
      </c>
      <c r="I113" s="296">
        <f>SUM(C113:H113)</f>
        <v/>
      </c>
      <c r="J113" s="287">
        <f>"Total: "&amp;TEXT(I113,"0.0")&amp;" days"</f>
        <v/>
      </c>
    </row>
    <row r="115">
      <c r="A115" s="286" t="inlineStr">
        <is>
          <t>ETE-100</t>
        </is>
      </c>
      <c r="B115" s="286">
        <f>INDEX('Project Portfolio'!$B:$B,MATCH($A115,'Project Portfolio'!$A:$A,0))</f>
        <v/>
      </c>
      <c r="D115" s="271" t="inlineStr">
        <is>
          <t>Priority:</t>
        </is>
      </c>
      <c r="E115" s="287">
        <f>INDEX('Project Portfolio'!$H:$H,MATCH($A115,'Project Portfolio'!$A:$A,0))</f>
        <v/>
      </c>
      <c r="F115" s="271" t="inlineStr">
        <is>
          <t>Est Hrs:</t>
        </is>
      </c>
      <c r="G115" s="288">
        <f>INDEX('Project Portfolio'!$R:$R,MATCH($A115,'Project Portfolio'!$A:$A,0))</f>
        <v/>
      </c>
    </row>
    <row r="117">
      <c r="A117" s="281" t="inlineStr"/>
      <c r="B117" s="281" t="inlineStr">
        <is>
          <t>Alloc %</t>
        </is>
      </c>
      <c r="C117" s="281" t="inlineStr">
        <is>
          <t>Discovery</t>
        </is>
      </c>
      <c r="D117" s="281" t="inlineStr">
        <is>
          <t>Planning</t>
        </is>
      </c>
      <c r="E117" s="281" t="inlineStr">
        <is>
          <t>Design</t>
        </is>
      </c>
      <c r="F117" s="281" t="inlineStr">
        <is>
          <t>Build</t>
        </is>
      </c>
      <c r="G117" s="281" t="inlineStr">
        <is>
          <t>Test</t>
        </is>
      </c>
      <c r="H117" s="281" t="inlineStr">
        <is>
          <t>Deploy/Hypercare</t>
        </is>
      </c>
      <c r="I117" s="281" t="inlineStr">
        <is>
          <t>Total Hrs</t>
        </is>
      </c>
      <c r="J117" s="281" t="inlineStr">
        <is>
          <t>Days</t>
        </is>
      </c>
    </row>
    <row r="118">
      <c r="A118" s="289" t="inlineStr">
        <is>
          <t>Phase Hours</t>
        </is>
      </c>
      <c r="B118" s="290" t="inlineStr"/>
      <c r="C118" s="291">
        <f>$G$115*B14</f>
        <v/>
      </c>
      <c r="D118" s="291">
        <f>$G$115*C14</f>
        <v/>
      </c>
      <c r="E118" s="291">
        <f>$G$115*D14</f>
        <v/>
      </c>
      <c r="F118" s="291">
        <f>$G$115*E14</f>
        <v/>
      </c>
      <c r="G118" s="291">
        <f>$G$115*F14</f>
        <v/>
      </c>
      <c r="H118" s="291">
        <f>$G$115*G14</f>
        <v/>
      </c>
      <c r="I118" s="292">
        <f>SUM(C118:H118)</f>
        <v/>
      </c>
    </row>
    <row r="119">
      <c r="A119" s="274" t="inlineStr">
        <is>
          <t>IT Business Analyst/SME</t>
        </is>
      </c>
      <c r="B119" s="279">
        <f>INDEX('Project Portfolio'!$T:$T,MATCH($A$115,'Project Portfolio'!$A:$A,0))</f>
        <v/>
      </c>
      <c r="C119" s="283">
        <f>$G$115*B119*RM_Assumptions!B23</f>
        <v/>
      </c>
      <c r="D119" s="283">
        <f>$G$115*B119*RM_Assumptions!C23</f>
        <v/>
      </c>
      <c r="E119" s="283">
        <f>$G$115*B119*RM_Assumptions!D23</f>
        <v/>
      </c>
      <c r="F119" s="283">
        <f>$G$115*B119*RM_Assumptions!E23</f>
        <v/>
      </c>
      <c r="G119" s="283">
        <f>$G$115*B119*RM_Assumptions!F23</f>
        <v/>
      </c>
      <c r="H119" s="283">
        <f>$G$115*B119*RM_Assumptions!G23</f>
        <v/>
      </c>
      <c r="I119" s="293">
        <f>SUM(C119:H119)</f>
        <v/>
      </c>
      <c r="J119" s="283">
        <f>IFERROR(I119/($D$31*0.85)*5,0)</f>
        <v/>
      </c>
    </row>
    <row r="120">
      <c r="A120" s="274" t="inlineStr">
        <is>
          <t>Developer</t>
        </is>
      </c>
      <c r="B120" s="279">
        <f>INDEX('Project Portfolio'!$W:$W,MATCH($A$115,'Project Portfolio'!$A:$A,0))</f>
        <v/>
      </c>
      <c r="C120" s="283">
        <f>$G$115*B120*RM_Assumptions!B26</f>
        <v/>
      </c>
      <c r="D120" s="283">
        <f>$G$115*B120*RM_Assumptions!C26</f>
        <v/>
      </c>
      <c r="E120" s="283">
        <f>$G$115*B120*RM_Assumptions!D26</f>
        <v/>
      </c>
      <c r="F120" s="283">
        <f>$G$115*B120*RM_Assumptions!E26</f>
        <v/>
      </c>
      <c r="G120" s="283">
        <f>$G$115*B120*RM_Assumptions!F26</f>
        <v/>
      </c>
      <c r="H120" s="283">
        <f>$G$115*B120*RM_Assumptions!G26</f>
        <v/>
      </c>
      <c r="I120" s="293">
        <f>SUM(C120:H120)</f>
        <v/>
      </c>
      <c r="J120" s="283">
        <f>IFERROR(I120/($D$34*0.85)*5,0)</f>
        <v/>
      </c>
    </row>
    <row r="121">
      <c r="A121" s="277" t="inlineStr">
        <is>
          <t>TOTAL</t>
        </is>
      </c>
      <c r="B121" s="294" t="inlineStr"/>
      <c r="C121" s="295">
        <f>SUM(C119:C120)</f>
        <v/>
      </c>
      <c r="D121" s="295">
        <f>SUM(D119:D120)</f>
        <v/>
      </c>
      <c r="E121" s="295">
        <f>SUM(E119:E120)</f>
        <v/>
      </c>
      <c r="F121" s="295">
        <f>SUM(F119:F120)</f>
        <v/>
      </c>
      <c r="G121" s="295">
        <f>SUM(G119:G120)</f>
        <v/>
      </c>
      <c r="H121" s="295">
        <f>SUM(H119:H120)</f>
        <v/>
      </c>
      <c r="I121" s="296">
        <f>SUM(I119:I120)</f>
        <v/>
      </c>
    </row>
    <row r="122">
      <c r="A122" s="287" t="inlineStr">
        <is>
          <t>Reconciliation</t>
        </is>
      </c>
      <c r="B122" s="290">
        <f>"Est: "&amp;TEXT($G$115,"#,##0")&amp;" hrs"</f>
        <v/>
      </c>
      <c r="C122" s="290">
        <f>"Alloc: "&amp;TEXT(I121,"#,##0.0")&amp;" hrs"</f>
        <v/>
      </c>
      <c r="D122" s="287">
        <f>IF(ABS($G$115-I121)&lt;0.5,"RECONCILED","GAP: "&amp;TEXT($G$115-I121,"+#,##0.0;-#,##0.0")&amp;" hrs")</f>
        <v/>
      </c>
    </row>
    <row r="123">
      <c r="A123" s="287" t="inlineStr">
        <is>
          <t>Phase Duration (days)</t>
        </is>
      </c>
      <c r="B123" s="290" t="inlineStr"/>
      <c r="C123" s="297">
        <f>MAX(IFERROR(C119/($D$31*0.85),0),IFERROR(C120/($D$34*0.85),0))*5</f>
        <v/>
      </c>
      <c r="D123" s="297">
        <f>MAX(IFERROR(D119/($D$31*0.85),0),IFERROR(D120/($D$34*0.85),0))*5</f>
        <v/>
      </c>
      <c r="E123" s="297">
        <f>MAX(IFERROR(E119/($D$31*0.85),0),IFERROR(E120/($D$34*0.85),0))*5</f>
        <v/>
      </c>
      <c r="F123" s="297">
        <f>MAX(IFERROR(F119/($D$31*0.85),0),IFERROR(F120/($D$34*0.85),0))*5</f>
        <v/>
      </c>
      <c r="G123" s="297">
        <f>MAX(IFERROR(G119/($D$31*0.85),0),IFERROR(G120/($D$34*0.85),0))*5</f>
        <v/>
      </c>
      <c r="H123" s="297">
        <f>MAX(IFERROR(H119/($D$31*0.85),0),IFERROR(H120/($D$34*0.85),0))*5</f>
        <v/>
      </c>
      <c r="I123" s="296">
        <f>SUM(C123:H123)</f>
        <v/>
      </c>
      <c r="J123" s="287">
        <f>"Total: "&amp;TEXT(I123,"0.0")&amp;" days"</f>
        <v/>
      </c>
    </row>
    <row r="125">
      <c r="A125" s="286" t="inlineStr">
        <is>
          <t>ETE-49</t>
        </is>
      </c>
      <c r="B125" s="286">
        <f>INDEX('Project Portfolio'!$B:$B,MATCH($A125,'Project Portfolio'!$A:$A,0))</f>
        <v/>
      </c>
      <c r="D125" s="271" t="inlineStr">
        <is>
          <t>Priority:</t>
        </is>
      </c>
      <c r="E125" s="287">
        <f>INDEX('Project Portfolio'!$H:$H,MATCH($A125,'Project Portfolio'!$A:$A,0))</f>
        <v/>
      </c>
      <c r="F125" s="271" t="inlineStr">
        <is>
          <t>Est Hrs:</t>
        </is>
      </c>
      <c r="G125" s="288">
        <f>INDEX('Project Portfolio'!$R:$R,MATCH($A125,'Project Portfolio'!$A:$A,0))</f>
        <v/>
      </c>
    </row>
    <row r="127">
      <c r="A127" s="281" t="inlineStr"/>
      <c r="B127" s="281" t="inlineStr">
        <is>
          <t>Alloc %</t>
        </is>
      </c>
      <c r="C127" s="281" t="inlineStr">
        <is>
          <t>Discovery</t>
        </is>
      </c>
      <c r="D127" s="281" t="inlineStr">
        <is>
          <t>Planning</t>
        </is>
      </c>
      <c r="E127" s="281" t="inlineStr">
        <is>
          <t>Design</t>
        </is>
      </c>
      <c r="F127" s="281" t="inlineStr">
        <is>
          <t>Build</t>
        </is>
      </c>
      <c r="G127" s="281" t="inlineStr">
        <is>
          <t>Test</t>
        </is>
      </c>
      <c r="H127" s="281" t="inlineStr">
        <is>
          <t>Deploy/Hypercare</t>
        </is>
      </c>
      <c r="I127" s="281" t="inlineStr">
        <is>
          <t>Total Hrs</t>
        </is>
      </c>
      <c r="J127" s="281" t="inlineStr">
        <is>
          <t>Days</t>
        </is>
      </c>
    </row>
    <row r="128">
      <c r="A128" s="289" t="inlineStr">
        <is>
          <t>Phase Hours</t>
        </is>
      </c>
      <c r="B128" s="290" t="inlineStr"/>
      <c r="C128" s="291">
        <f>$G$125*B14</f>
        <v/>
      </c>
      <c r="D128" s="291">
        <f>$G$125*C14</f>
        <v/>
      </c>
      <c r="E128" s="291">
        <f>$G$125*D14</f>
        <v/>
      </c>
      <c r="F128" s="291">
        <f>$G$125*E14</f>
        <v/>
      </c>
      <c r="G128" s="291">
        <f>$G$125*F14</f>
        <v/>
      </c>
      <c r="H128" s="291">
        <f>$G$125*G14</f>
        <v/>
      </c>
      <c r="I128" s="292">
        <f>SUM(C128:H128)</f>
        <v/>
      </c>
    </row>
    <row r="129">
      <c r="A129" s="274" t="inlineStr">
        <is>
          <t>IT Business Analyst/SME</t>
        </is>
      </c>
      <c r="B129" s="279">
        <f>INDEX('Project Portfolio'!$T:$T,MATCH($A$125,'Project Portfolio'!$A:$A,0))</f>
        <v/>
      </c>
      <c r="C129" s="283">
        <f>$G$125*B129*RM_Assumptions!B23</f>
        <v/>
      </c>
      <c r="D129" s="283">
        <f>$G$125*B129*RM_Assumptions!C23</f>
        <v/>
      </c>
      <c r="E129" s="283">
        <f>$G$125*B129*RM_Assumptions!D23</f>
        <v/>
      </c>
      <c r="F129" s="283">
        <f>$G$125*B129*RM_Assumptions!E23</f>
        <v/>
      </c>
      <c r="G129" s="283">
        <f>$G$125*B129*RM_Assumptions!F23</f>
        <v/>
      </c>
      <c r="H129" s="283">
        <f>$G$125*B129*RM_Assumptions!G23</f>
        <v/>
      </c>
      <c r="I129" s="293">
        <f>SUM(C129:H129)</f>
        <v/>
      </c>
      <c r="J129" s="283">
        <f>IFERROR(I129/($D$31*0.85)*5,0)</f>
        <v/>
      </c>
    </row>
    <row r="130">
      <c r="A130" s="274" t="inlineStr">
        <is>
          <t>Developer</t>
        </is>
      </c>
      <c r="B130" s="279">
        <f>INDEX('Project Portfolio'!$W:$W,MATCH($A$125,'Project Portfolio'!$A:$A,0))</f>
        <v/>
      </c>
      <c r="C130" s="283">
        <f>$G$125*B130*RM_Assumptions!B26</f>
        <v/>
      </c>
      <c r="D130" s="283">
        <f>$G$125*B130*RM_Assumptions!C26</f>
        <v/>
      </c>
      <c r="E130" s="283">
        <f>$G$125*B130*RM_Assumptions!D26</f>
        <v/>
      </c>
      <c r="F130" s="283">
        <f>$G$125*B130*RM_Assumptions!E26</f>
        <v/>
      </c>
      <c r="G130" s="283">
        <f>$G$125*B130*RM_Assumptions!F26</f>
        <v/>
      </c>
      <c r="H130" s="283">
        <f>$G$125*B130*RM_Assumptions!G26</f>
        <v/>
      </c>
      <c r="I130" s="293">
        <f>SUM(C130:H130)</f>
        <v/>
      </c>
      <c r="J130" s="283">
        <f>IFERROR(I130/($D$34*0.85)*5,0)</f>
        <v/>
      </c>
    </row>
    <row r="131">
      <c r="A131" s="277" t="inlineStr">
        <is>
          <t>TOTAL</t>
        </is>
      </c>
      <c r="B131" s="294" t="inlineStr"/>
      <c r="C131" s="295">
        <f>SUM(C129:C130)</f>
        <v/>
      </c>
      <c r="D131" s="295">
        <f>SUM(D129:D130)</f>
        <v/>
      </c>
      <c r="E131" s="295">
        <f>SUM(E129:E130)</f>
        <v/>
      </c>
      <c r="F131" s="295">
        <f>SUM(F129:F130)</f>
        <v/>
      </c>
      <c r="G131" s="295">
        <f>SUM(G129:G130)</f>
        <v/>
      </c>
      <c r="H131" s="295">
        <f>SUM(H129:H130)</f>
        <v/>
      </c>
      <c r="I131" s="296">
        <f>SUM(I129:I130)</f>
        <v/>
      </c>
    </row>
    <row r="132">
      <c r="A132" s="287" t="inlineStr">
        <is>
          <t>Reconciliation</t>
        </is>
      </c>
      <c r="B132" s="290">
        <f>"Est: "&amp;TEXT($G$125,"#,##0")&amp;" hrs"</f>
        <v/>
      </c>
      <c r="C132" s="290">
        <f>"Alloc: "&amp;TEXT(I131,"#,##0.0")&amp;" hrs"</f>
        <v/>
      </c>
      <c r="D132" s="287">
        <f>IF(ABS($G$125-I131)&lt;0.5,"RECONCILED","GAP: "&amp;TEXT($G$125-I131,"+#,##0.0;-#,##0.0")&amp;" hrs")</f>
        <v/>
      </c>
    </row>
    <row r="133">
      <c r="A133" s="287" t="inlineStr">
        <is>
          <t>Phase Duration (days)</t>
        </is>
      </c>
      <c r="B133" s="290" t="inlineStr"/>
      <c r="C133" s="297">
        <f>MAX(IFERROR(C129/($D$31*0.85),0),IFERROR(C130/($D$34*0.85),0))*5</f>
        <v/>
      </c>
      <c r="D133" s="297">
        <f>MAX(IFERROR(D129/($D$31*0.85),0),IFERROR(D130/($D$34*0.85),0))*5</f>
        <v/>
      </c>
      <c r="E133" s="297">
        <f>MAX(IFERROR(E129/($D$31*0.85),0),IFERROR(E130/($D$34*0.85),0))*5</f>
        <v/>
      </c>
      <c r="F133" s="297">
        <f>MAX(IFERROR(F129/($D$31*0.85),0),IFERROR(F130/($D$34*0.85),0))*5</f>
        <v/>
      </c>
      <c r="G133" s="297">
        <f>MAX(IFERROR(G129/($D$31*0.85),0),IFERROR(G130/($D$34*0.85),0))*5</f>
        <v/>
      </c>
      <c r="H133" s="297">
        <f>MAX(IFERROR(H129/($D$31*0.85),0),IFERROR(H130/($D$34*0.85),0))*5</f>
        <v/>
      </c>
      <c r="I133" s="296">
        <f>SUM(C133:H133)</f>
        <v/>
      </c>
      <c r="J133" s="287">
        <f>"Total: "&amp;TEXT(I133,"0.0")&amp;" days"</f>
        <v/>
      </c>
    </row>
    <row r="135">
      <c r="A135" s="286" t="inlineStr">
        <is>
          <t>ETE-7</t>
        </is>
      </c>
      <c r="B135" s="286">
        <f>INDEX('Project Portfolio'!$B:$B,MATCH($A135,'Project Portfolio'!$A:$A,0))</f>
        <v/>
      </c>
      <c r="D135" s="271" t="inlineStr">
        <is>
          <t>Priority:</t>
        </is>
      </c>
      <c r="E135" s="287">
        <f>INDEX('Project Portfolio'!$H:$H,MATCH($A135,'Project Portfolio'!$A:$A,0))</f>
        <v/>
      </c>
      <c r="F135" s="271" t="inlineStr">
        <is>
          <t>Est Hrs:</t>
        </is>
      </c>
      <c r="G135" s="288">
        <f>INDEX('Project Portfolio'!$R:$R,MATCH($A135,'Project Portfolio'!$A:$A,0))</f>
        <v/>
      </c>
    </row>
    <row r="137">
      <c r="A137" s="281" t="inlineStr"/>
      <c r="B137" s="281" t="inlineStr">
        <is>
          <t>Alloc %</t>
        </is>
      </c>
      <c r="C137" s="281" t="inlineStr">
        <is>
          <t>Discovery</t>
        </is>
      </c>
      <c r="D137" s="281" t="inlineStr">
        <is>
          <t>Planning</t>
        </is>
      </c>
      <c r="E137" s="281" t="inlineStr">
        <is>
          <t>Design</t>
        </is>
      </c>
      <c r="F137" s="281" t="inlineStr">
        <is>
          <t>Build</t>
        </is>
      </c>
      <c r="G137" s="281" t="inlineStr">
        <is>
          <t>Test</t>
        </is>
      </c>
      <c r="H137" s="281" t="inlineStr">
        <is>
          <t>Deploy/Hypercare</t>
        </is>
      </c>
      <c r="I137" s="281" t="inlineStr">
        <is>
          <t>Total Hrs</t>
        </is>
      </c>
      <c r="J137" s="281" t="inlineStr">
        <is>
          <t>Days</t>
        </is>
      </c>
    </row>
    <row r="138">
      <c r="A138" s="289" t="inlineStr">
        <is>
          <t>Phase Hours</t>
        </is>
      </c>
      <c r="B138" s="290" t="inlineStr"/>
      <c r="C138" s="291">
        <f>$G$135*B14</f>
        <v/>
      </c>
      <c r="D138" s="291">
        <f>$G$135*C14</f>
        <v/>
      </c>
      <c r="E138" s="291">
        <f>$G$135*D14</f>
        <v/>
      </c>
      <c r="F138" s="291">
        <f>$G$135*E14</f>
        <v/>
      </c>
      <c r="G138" s="291">
        <f>$G$135*F14</f>
        <v/>
      </c>
      <c r="H138" s="291">
        <f>$G$135*G14</f>
        <v/>
      </c>
      <c r="I138" s="292">
        <f>SUM(C138:H138)</f>
        <v/>
      </c>
    </row>
    <row r="139">
      <c r="A139" s="274" t="inlineStr">
        <is>
          <t>IT Business Analyst/SME</t>
        </is>
      </c>
      <c r="B139" s="279">
        <f>INDEX('Project Portfolio'!$T:$T,MATCH($A$135,'Project Portfolio'!$A:$A,0))</f>
        <v/>
      </c>
      <c r="C139" s="283">
        <f>$G$135*B139*RM_Assumptions!B23</f>
        <v/>
      </c>
      <c r="D139" s="283">
        <f>$G$135*B139*RM_Assumptions!C23</f>
        <v/>
      </c>
      <c r="E139" s="283">
        <f>$G$135*B139*RM_Assumptions!D23</f>
        <v/>
      </c>
      <c r="F139" s="283">
        <f>$G$135*B139*RM_Assumptions!E23</f>
        <v/>
      </c>
      <c r="G139" s="283">
        <f>$G$135*B139*RM_Assumptions!F23</f>
        <v/>
      </c>
      <c r="H139" s="283">
        <f>$G$135*B139*RM_Assumptions!G23</f>
        <v/>
      </c>
      <c r="I139" s="293">
        <f>SUM(C139:H139)</f>
        <v/>
      </c>
      <c r="J139" s="283">
        <f>IFERROR(I139/($D$31*0.85)*5,0)</f>
        <v/>
      </c>
    </row>
    <row r="140">
      <c r="A140" s="274" t="inlineStr">
        <is>
          <t>IT Functional Analyst</t>
        </is>
      </c>
      <c r="B140" s="279">
        <f>INDEX('Project Portfolio'!$U:$U,MATCH($A$135,'Project Portfolio'!$A:$A,0))</f>
        <v/>
      </c>
      <c r="C140" s="283">
        <f>$G$135*B140*RM_Assumptions!B24</f>
        <v/>
      </c>
      <c r="D140" s="283">
        <f>$G$135*B140*RM_Assumptions!C24</f>
        <v/>
      </c>
      <c r="E140" s="283">
        <f>$G$135*B140*RM_Assumptions!D24</f>
        <v/>
      </c>
      <c r="F140" s="283">
        <f>$G$135*B140*RM_Assumptions!E24</f>
        <v/>
      </c>
      <c r="G140" s="283">
        <f>$G$135*B140*RM_Assumptions!F24</f>
        <v/>
      </c>
      <c r="H140" s="283">
        <f>$G$135*B140*RM_Assumptions!G24</f>
        <v/>
      </c>
      <c r="I140" s="293">
        <f>SUM(C140:H140)</f>
        <v/>
      </c>
      <c r="J140" s="283">
        <f>IFERROR(I140/($D$32*0.85)*5,0)</f>
        <v/>
      </c>
    </row>
    <row r="141">
      <c r="A141" s="274" t="inlineStr">
        <is>
          <t>IT Tech Analyst/Developer</t>
        </is>
      </c>
      <c r="B141" s="279">
        <f>INDEX('Project Portfolio'!$V:$V,MATCH($A$135,'Project Portfolio'!$A:$A,0))</f>
        <v/>
      </c>
      <c r="C141" s="283">
        <f>$G$135*B141*RM_Assumptions!B25</f>
        <v/>
      </c>
      <c r="D141" s="283">
        <f>$G$135*B141*RM_Assumptions!C25</f>
        <v/>
      </c>
      <c r="E141" s="283">
        <f>$G$135*B141*RM_Assumptions!D25</f>
        <v/>
      </c>
      <c r="F141" s="283">
        <f>$G$135*B141*RM_Assumptions!E25</f>
        <v/>
      </c>
      <c r="G141" s="283">
        <f>$G$135*B141*RM_Assumptions!F25</f>
        <v/>
      </c>
      <c r="H141" s="283">
        <f>$G$135*B141*RM_Assumptions!G25</f>
        <v/>
      </c>
      <c r="I141" s="293">
        <f>SUM(C141:H141)</f>
        <v/>
      </c>
      <c r="J141" s="283">
        <f>IFERROR(I141/($D$33*0.85)*5,0)</f>
        <v/>
      </c>
    </row>
    <row r="142">
      <c r="A142" s="277" t="inlineStr">
        <is>
          <t>TOTAL</t>
        </is>
      </c>
      <c r="B142" s="294" t="inlineStr"/>
      <c r="C142" s="295">
        <f>SUM(C139:C141)</f>
        <v/>
      </c>
      <c r="D142" s="295">
        <f>SUM(D139:D141)</f>
        <v/>
      </c>
      <c r="E142" s="295">
        <f>SUM(E139:E141)</f>
        <v/>
      </c>
      <c r="F142" s="295">
        <f>SUM(F139:F141)</f>
        <v/>
      </c>
      <c r="G142" s="295">
        <f>SUM(G139:G141)</f>
        <v/>
      </c>
      <c r="H142" s="295">
        <f>SUM(H139:H141)</f>
        <v/>
      </c>
      <c r="I142" s="296">
        <f>SUM(I139:I141)</f>
        <v/>
      </c>
    </row>
    <row r="143">
      <c r="A143" s="287" t="inlineStr">
        <is>
          <t>Reconciliation</t>
        </is>
      </c>
      <c r="B143" s="290">
        <f>"Est: "&amp;TEXT($G$135,"#,##0")&amp;" hrs"</f>
        <v/>
      </c>
      <c r="C143" s="290">
        <f>"Alloc: "&amp;TEXT(I142,"#,##0.0")&amp;" hrs"</f>
        <v/>
      </c>
      <c r="D143" s="287">
        <f>IF(ABS($G$135-I142)&lt;0.5,"RECONCILED","GAP: "&amp;TEXT($G$135-I142,"+#,##0.0;-#,##0.0")&amp;" hrs")</f>
        <v/>
      </c>
    </row>
    <row r="144">
      <c r="A144" s="287" t="inlineStr">
        <is>
          <t>Phase Duration (days)</t>
        </is>
      </c>
      <c r="B144" s="290" t="inlineStr"/>
      <c r="C144" s="297">
        <f>MAX(IFERROR(C139/($D$31*0.85),0),IFERROR(C140/($D$32*0.85),0),IFERROR(C141/($D$33*0.85),0))*5</f>
        <v/>
      </c>
      <c r="D144" s="297">
        <f>MAX(IFERROR(D139/($D$31*0.85),0),IFERROR(D140/($D$32*0.85),0),IFERROR(D141/($D$33*0.85),0))*5</f>
        <v/>
      </c>
      <c r="E144" s="297">
        <f>MAX(IFERROR(E139/($D$31*0.85),0),IFERROR(E140/($D$32*0.85),0),IFERROR(E141/($D$33*0.85),0))*5</f>
        <v/>
      </c>
      <c r="F144" s="297">
        <f>MAX(IFERROR(F139/($D$31*0.85),0),IFERROR(F140/($D$32*0.85),0),IFERROR(F141/($D$33*0.85),0))*5</f>
        <v/>
      </c>
      <c r="G144" s="297">
        <f>MAX(IFERROR(G139/($D$31*0.85),0),IFERROR(G140/($D$32*0.85),0),IFERROR(G141/($D$33*0.85),0))*5</f>
        <v/>
      </c>
      <c r="H144" s="297">
        <f>MAX(IFERROR(H139/($D$31*0.85),0),IFERROR(H140/($D$32*0.85),0),IFERROR(H141/($D$33*0.85),0))*5</f>
        <v/>
      </c>
      <c r="I144" s="296">
        <f>SUM(C144:H144)</f>
        <v/>
      </c>
      <c r="J144" s="287">
        <f>"Total: "&amp;TEXT(I144,"0.0")&amp;" days"</f>
        <v/>
      </c>
    </row>
    <row r="146">
      <c r="A146" s="286" t="inlineStr">
        <is>
          <t>ETE-16</t>
        </is>
      </c>
      <c r="B146" s="286">
        <f>INDEX('Project Portfolio'!$B:$B,MATCH($A146,'Project Portfolio'!$A:$A,0))</f>
        <v/>
      </c>
      <c r="D146" s="271" t="inlineStr">
        <is>
          <t>Priority:</t>
        </is>
      </c>
      <c r="E146" s="287">
        <f>INDEX('Project Portfolio'!$H:$H,MATCH($A146,'Project Portfolio'!$A:$A,0))</f>
        <v/>
      </c>
      <c r="F146" s="271" t="inlineStr">
        <is>
          <t>Est Hrs:</t>
        </is>
      </c>
      <c r="G146" s="288">
        <f>INDEX('Project Portfolio'!$R:$R,MATCH($A146,'Project Portfolio'!$A:$A,0))</f>
        <v/>
      </c>
    </row>
    <row r="148">
      <c r="A148" s="281" t="inlineStr"/>
      <c r="B148" s="281" t="inlineStr">
        <is>
          <t>Alloc %</t>
        </is>
      </c>
      <c r="C148" s="281" t="inlineStr">
        <is>
          <t>Discovery</t>
        </is>
      </c>
      <c r="D148" s="281" t="inlineStr">
        <is>
          <t>Planning</t>
        </is>
      </c>
      <c r="E148" s="281" t="inlineStr">
        <is>
          <t>Design</t>
        </is>
      </c>
      <c r="F148" s="281" t="inlineStr">
        <is>
          <t>Build</t>
        </is>
      </c>
      <c r="G148" s="281" t="inlineStr">
        <is>
          <t>Test</t>
        </is>
      </c>
      <c r="H148" s="281" t="inlineStr">
        <is>
          <t>Deploy/Hypercare</t>
        </is>
      </c>
      <c r="I148" s="281" t="inlineStr">
        <is>
          <t>Total Hrs</t>
        </is>
      </c>
      <c r="J148" s="281" t="inlineStr">
        <is>
          <t>Days</t>
        </is>
      </c>
    </row>
    <row r="149">
      <c r="A149" s="289" t="inlineStr">
        <is>
          <t>Phase Hours</t>
        </is>
      </c>
      <c r="B149" s="290" t="inlineStr"/>
      <c r="C149" s="291">
        <f>$G$146*B14</f>
        <v/>
      </c>
      <c r="D149" s="291">
        <f>$G$146*C14</f>
        <v/>
      </c>
      <c r="E149" s="291">
        <f>$G$146*D14</f>
        <v/>
      </c>
      <c r="F149" s="291">
        <f>$G$146*E14</f>
        <v/>
      </c>
      <c r="G149" s="291">
        <f>$G$146*F14</f>
        <v/>
      </c>
      <c r="H149" s="291">
        <f>$G$146*G14</f>
        <v/>
      </c>
      <c r="I149" s="292">
        <f>SUM(C149:H149)</f>
        <v/>
      </c>
    </row>
    <row r="150">
      <c r="A150" s="274" t="inlineStr">
        <is>
          <t>IT Business Analyst/SME</t>
        </is>
      </c>
      <c r="B150" s="279">
        <f>INDEX('Project Portfolio'!$T:$T,MATCH($A$146,'Project Portfolio'!$A:$A,0))</f>
        <v/>
      </c>
      <c r="C150" s="283">
        <f>$G$146*B150*RM_Assumptions!B23</f>
        <v/>
      </c>
      <c r="D150" s="283">
        <f>$G$146*B150*RM_Assumptions!C23</f>
        <v/>
      </c>
      <c r="E150" s="283">
        <f>$G$146*B150*RM_Assumptions!D23</f>
        <v/>
      </c>
      <c r="F150" s="283">
        <f>$G$146*B150*RM_Assumptions!E23</f>
        <v/>
      </c>
      <c r="G150" s="283">
        <f>$G$146*B150*RM_Assumptions!F23</f>
        <v/>
      </c>
      <c r="H150" s="283">
        <f>$G$146*B150*RM_Assumptions!G23</f>
        <v/>
      </c>
      <c r="I150" s="293">
        <f>SUM(C150:H150)</f>
        <v/>
      </c>
      <c r="J150" s="283">
        <f>IFERROR(I150/($D$31*0.85)*5,0)</f>
        <v/>
      </c>
    </row>
    <row r="151">
      <c r="A151" s="274" t="inlineStr">
        <is>
          <t>IT Functional Analyst</t>
        </is>
      </c>
      <c r="B151" s="279">
        <f>INDEX('Project Portfolio'!$U:$U,MATCH($A$146,'Project Portfolio'!$A:$A,0))</f>
        <v/>
      </c>
      <c r="C151" s="283">
        <f>$G$146*B151*RM_Assumptions!B24</f>
        <v/>
      </c>
      <c r="D151" s="283">
        <f>$G$146*B151*RM_Assumptions!C24</f>
        <v/>
      </c>
      <c r="E151" s="283">
        <f>$G$146*B151*RM_Assumptions!D24</f>
        <v/>
      </c>
      <c r="F151" s="283">
        <f>$G$146*B151*RM_Assumptions!E24</f>
        <v/>
      </c>
      <c r="G151" s="283">
        <f>$G$146*B151*RM_Assumptions!F24</f>
        <v/>
      </c>
      <c r="H151" s="283">
        <f>$G$146*B151*RM_Assumptions!G24</f>
        <v/>
      </c>
      <c r="I151" s="293">
        <f>SUM(C151:H151)</f>
        <v/>
      </c>
      <c r="J151" s="283">
        <f>IFERROR(I151/($D$32*0.85)*5,0)</f>
        <v/>
      </c>
    </row>
    <row r="152">
      <c r="A152" s="274" t="inlineStr">
        <is>
          <t>IT Tech Analyst/Developer</t>
        </is>
      </c>
      <c r="B152" s="279">
        <f>INDEX('Project Portfolio'!$V:$V,MATCH($A$146,'Project Portfolio'!$A:$A,0))</f>
        <v/>
      </c>
      <c r="C152" s="283">
        <f>$G$146*B152*RM_Assumptions!B25</f>
        <v/>
      </c>
      <c r="D152" s="283">
        <f>$G$146*B152*RM_Assumptions!C25</f>
        <v/>
      </c>
      <c r="E152" s="283">
        <f>$G$146*B152*RM_Assumptions!D25</f>
        <v/>
      </c>
      <c r="F152" s="283">
        <f>$G$146*B152*RM_Assumptions!E25</f>
        <v/>
      </c>
      <c r="G152" s="283">
        <f>$G$146*B152*RM_Assumptions!F25</f>
        <v/>
      </c>
      <c r="H152" s="283">
        <f>$G$146*B152*RM_Assumptions!G25</f>
        <v/>
      </c>
      <c r="I152" s="293">
        <f>SUM(C152:H152)</f>
        <v/>
      </c>
      <c r="J152" s="283">
        <f>IFERROR(I152/($D$33*0.85)*5,0)</f>
        <v/>
      </c>
    </row>
    <row r="153">
      <c r="A153" s="277" t="inlineStr">
        <is>
          <t>TOTAL</t>
        </is>
      </c>
      <c r="B153" s="294" t="inlineStr"/>
      <c r="C153" s="295">
        <f>SUM(C150:C152)</f>
        <v/>
      </c>
      <c r="D153" s="295">
        <f>SUM(D150:D152)</f>
        <v/>
      </c>
      <c r="E153" s="295">
        <f>SUM(E150:E152)</f>
        <v/>
      </c>
      <c r="F153" s="295">
        <f>SUM(F150:F152)</f>
        <v/>
      </c>
      <c r="G153" s="295">
        <f>SUM(G150:G152)</f>
        <v/>
      </c>
      <c r="H153" s="295">
        <f>SUM(H150:H152)</f>
        <v/>
      </c>
      <c r="I153" s="296">
        <f>SUM(I150:I152)</f>
        <v/>
      </c>
    </row>
    <row r="154">
      <c r="A154" s="287" t="inlineStr">
        <is>
          <t>Reconciliation</t>
        </is>
      </c>
      <c r="B154" s="290">
        <f>"Est: "&amp;TEXT($G$146,"#,##0")&amp;" hrs"</f>
        <v/>
      </c>
      <c r="C154" s="290">
        <f>"Alloc: "&amp;TEXT(I153,"#,##0.0")&amp;" hrs"</f>
        <v/>
      </c>
      <c r="D154" s="287">
        <f>IF(ABS($G$146-I153)&lt;0.5,"RECONCILED","GAP: "&amp;TEXT($G$146-I153,"+#,##0.0;-#,##0.0")&amp;" hrs")</f>
        <v/>
      </c>
    </row>
    <row r="155">
      <c r="A155" s="287" t="inlineStr">
        <is>
          <t>Phase Duration (days)</t>
        </is>
      </c>
      <c r="B155" s="290" t="inlineStr"/>
      <c r="C155" s="297">
        <f>MAX(IFERROR(C150/($D$31*0.85),0),IFERROR(C151/($D$32*0.85),0),IFERROR(C152/($D$33*0.85),0))*5</f>
        <v/>
      </c>
      <c r="D155" s="297">
        <f>MAX(IFERROR(D150/($D$31*0.85),0),IFERROR(D151/($D$32*0.85),0),IFERROR(D152/($D$33*0.85),0))*5</f>
        <v/>
      </c>
      <c r="E155" s="297">
        <f>MAX(IFERROR(E150/($D$31*0.85),0),IFERROR(E151/($D$32*0.85),0),IFERROR(E152/($D$33*0.85),0))*5</f>
        <v/>
      </c>
      <c r="F155" s="297">
        <f>MAX(IFERROR(F150/($D$31*0.85),0),IFERROR(F151/($D$32*0.85),0),IFERROR(F152/($D$33*0.85),0))*5</f>
        <v/>
      </c>
      <c r="G155" s="297">
        <f>MAX(IFERROR(G150/($D$31*0.85),0),IFERROR(G151/($D$32*0.85),0),IFERROR(G152/($D$33*0.85),0))*5</f>
        <v/>
      </c>
      <c r="H155" s="297">
        <f>MAX(IFERROR(H150/($D$31*0.85),0),IFERROR(H151/($D$32*0.85),0),IFERROR(H152/($D$33*0.85),0))*5</f>
        <v/>
      </c>
      <c r="I155" s="296">
        <f>SUM(C155:H155)</f>
        <v/>
      </c>
      <c r="J155" s="287">
        <f>"Total: "&amp;TEXT(I155,"0.0")&amp;" days"</f>
        <v/>
      </c>
    </row>
    <row r="157">
      <c r="A157" s="286" t="inlineStr">
        <is>
          <t>ETE-52</t>
        </is>
      </c>
      <c r="B157" s="286">
        <f>INDEX('Project Portfolio'!$B:$B,MATCH($A157,'Project Portfolio'!$A:$A,0))</f>
        <v/>
      </c>
      <c r="D157" s="271" t="inlineStr">
        <is>
          <t>Priority:</t>
        </is>
      </c>
      <c r="E157" s="287">
        <f>INDEX('Project Portfolio'!$H:$H,MATCH($A157,'Project Portfolio'!$A:$A,0))</f>
        <v/>
      </c>
      <c r="F157" s="271" t="inlineStr">
        <is>
          <t>Est Hrs:</t>
        </is>
      </c>
      <c r="G157" s="288">
        <f>INDEX('Project Portfolio'!$R:$R,MATCH($A157,'Project Portfolio'!$A:$A,0))</f>
        <v/>
      </c>
    </row>
    <row r="159">
      <c r="A159" s="281" t="inlineStr"/>
      <c r="B159" s="281" t="inlineStr">
        <is>
          <t>Alloc %</t>
        </is>
      </c>
      <c r="C159" s="281" t="inlineStr">
        <is>
          <t>Discovery</t>
        </is>
      </c>
      <c r="D159" s="281" t="inlineStr">
        <is>
          <t>Planning</t>
        </is>
      </c>
      <c r="E159" s="281" t="inlineStr">
        <is>
          <t>Design</t>
        </is>
      </c>
      <c r="F159" s="281" t="inlineStr">
        <is>
          <t>Build</t>
        </is>
      </c>
      <c r="G159" s="281" t="inlineStr">
        <is>
          <t>Test</t>
        </is>
      </c>
      <c r="H159" s="281" t="inlineStr">
        <is>
          <t>Deploy/Hypercare</t>
        </is>
      </c>
      <c r="I159" s="281" t="inlineStr">
        <is>
          <t>Total Hrs</t>
        </is>
      </c>
      <c r="J159" s="281" t="inlineStr">
        <is>
          <t>Days</t>
        </is>
      </c>
    </row>
    <row r="160">
      <c r="A160" s="289" t="inlineStr">
        <is>
          <t>Phase Hours</t>
        </is>
      </c>
      <c r="B160" s="290" t="inlineStr"/>
      <c r="C160" s="291">
        <f>$G$157*B14</f>
        <v/>
      </c>
      <c r="D160" s="291">
        <f>$G$157*C14</f>
        <v/>
      </c>
      <c r="E160" s="291">
        <f>$G$157*D14</f>
        <v/>
      </c>
      <c r="F160" s="291">
        <f>$G$157*E14</f>
        <v/>
      </c>
      <c r="G160" s="291">
        <f>$G$157*F14</f>
        <v/>
      </c>
      <c r="H160" s="291">
        <f>$G$157*G14</f>
        <v/>
      </c>
      <c r="I160" s="292">
        <f>SUM(C160:H160)</f>
        <v/>
      </c>
    </row>
    <row r="161">
      <c r="A161" s="274" t="inlineStr">
        <is>
          <t>IT Business Analyst/SME</t>
        </is>
      </c>
      <c r="B161" s="279">
        <f>INDEX('Project Portfolio'!$T:$T,MATCH($A$157,'Project Portfolio'!$A:$A,0))</f>
        <v/>
      </c>
      <c r="C161" s="283">
        <f>$G$157*B161*RM_Assumptions!B23</f>
        <v/>
      </c>
      <c r="D161" s="283">
        <f>$G$157*B161*RM_Assumptions!C23</f>
        <v/>
      </c>
      <c r="E161" s="283">
        <f>$G$157*B161*RM_Assumptions!D23</f>
        <v/>
      </c>
      <c r="F161" s="283">
        <f>$G$157*B161*RM_Assumptions!E23</f>
        <v/>
      </c>
      <c r="G161" s="283">
        <f>$G$157*B161*RM_Assumptions!F23</f>
        <v/>
      </c>
      <c r="H161" s="283">
        <f>$G$157*B161*RM_Assumptions!G23</f>
        <v/>
      </c>
      <c r="I161" s="293">
        <f>SUM(C161:H161)</f>
        <v/>
      </c>
      <c r="J161" s="283">
        <f>IFERROR(I161/($D$31*0.85)*5,0)</f>
        <v/>
      </c>
    </row>
    <row r="162">
      <c r="A162" s="274" t="inlineStr">
        <is>
          <t>Developer</t>
        </is>
      </c>
      <c r="B162" s="279">
        <f>INDEX('Project Portfolio'!$W:$W,MATCH($A$157,'Project Portfolio'!$A:$A,0))</f>
        <v/>
      </c>
      <c r="C162" s="283">
        <f>$G$157*B162*RM_Assumptions!B26</f>
        <v/>
      </c>
      <c r="D162" s="283">
        <f>$G$157*B162*RM_Assumptions!C26</f>
        <v/>
      </c>
      <c r="E162" s="283">
        <f>$G$157*B162*RM_Assumptions!D26</f>
        <v/>
      </c>
      <c r="F162" s="283">
        <f>$G$157*B162*RM_Assumptions!E26</f>
        <v/>
      </c>
      <c r="G162" s="283">
        <f>$G$157*B162*RM_Assumptions!F26</f>
        <v/>
      </c>
      <c r="H162" s="283">
        <f>$G$157*B162*RM_Assumptions!G26</f>
        <v/>
      </c>
      <c r="I162" s="293">
        <f>SUM(C162:H162)</f>
        <v/>
      </c>
      <c r="J162" s="283">
        <f>IFERROR(I162/($D$34*0.85)*5,0)</f>
        <v/>
      </c>
    </row>
    <row r="163">
      <c r="A163" s="277" t="inlineStr">
        <is>
          <t>TOTAL</t>
        </is>
      </c>
      <c r="B163" s="294" t="inlineStr"/>
      <c r="C163" s="295">
        <f>SUM(C161:C162)</f>
        <v/>
      </c>
      <c r="D163" s="295">
        <f>SUM(D161:D162)</f>
        <v/>
      </c>
      <c r="E163" s="295">
        <f>SUM(E161:E162)</f>
        <v/>
      </c>
      <c r="F163" s="295">
        <f>SUM(F161:F162)</f>
        <v/>
      </c>
      <c r="G163" s="295">
        <f>SUM(G161:G162)</f>
        <v/>
      </c>
      <c r="H163" s="295">
        <f>SUM(H161:H162)</f>
        <v/>
      </c>
      <c r="I163" s="296">
        <f>SUM(I161:I162)</f>
        <v/>
      </c>
    </row>
    <row r="164">
      <c r="A164" s="287" t="inlineStr">
        <is>
          <t>Reconciliation</t>
        </is>
      </c>
      <c r="B164" s="290">
        <f>"Est: "&amp;TEXT($G$157,"#,##0")&amp;" hrs"</f>
        <v/>
      </c>
      <c r="C164" s="290">
        <f>"Alloc: "&amp;TEXT(I163,"#,##0.0")&amp;" hrs"</f>
        <v/>
      </c>
      <c r="D164" s="287">
        <f>IF(ABS($G$157-I163)&lt;0.5,"RECONCILED","GAP: "&amp;TEXT($G$157-I163,"+#,##0.0;-#,##0.0")&amp;" hrs")</f>
        <v/>
      </c>
    </row>
    <row r="165">
      <c r="A165" s="287" t="inlineStr">
        <is>
          <t>Phase Duration (days)</t>
        </is>
      </c>
      <c r="B165" s="290" t="inlineStr"/>
      <c r="C165" s="297">
        <f>MAX(IFERROR(C161/($D$31*0.85),0),IFERROR(C162/($D$34*0.85),0))*5</f>
        <v/>
      </c>
      <c r="D165" s="297">
        <f>MAX(IFERROR(D161/($D$31*0.85),0),IFERROR(D162/($D$34*0.85),0))*5</f>
        <v/>
      </c>
      <c r="E165" s="297">
        <f>MAX(IFERROR(E161/($D$31*0.85),0),IFERROR(E162/($D$34*0.85),0))*5</f>
        <v/>
      </c>
      <c r="F165" s="297">
        <f>MAX(IFERROR(F161/($D$31*0.85),0),IFERROR(F162/($D$34*0.85),0))*5</f>
        <v/>
      </c>
      <c r="G165" s="297">
        <f>MAX(IFERROR(G161/($D$31*0.85),0),IFERROR(G162/($D$34*0.85),0))*5</f>
        <v/>
      </c>
      <c r="H165" s="297">
        <f>MAX(IFERROR(H161/($D$31*0.85),0),IFERROR(H162/($D$34*0.85),0))*5</f>
        <v/>
      </c>
      <c r="I165" s="296">
        <f>SUM(C165:H165)</f>
        <v/>
      </c>
      <c r="J165" s="287">
        <f>"Total: "&amp;TEXT(I165,"0.0")&amp;" days"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24" customWidth="1" min="8" max="8"/>
    <col width="16" customWidth="1" min="9" max="9"/>
  </cols>
  <sheetData>
    <row r="1">
      <c r="A1" s="270" t="inlineStr">
        <is>
          <t>ETE IT PMO — Capacity Summary</t>
        </is>
      </c>
    </row>
    <row r="2">
      <c r="A2" s="271" t="inlineStr">
        <is>
          <t>All supply/headcount values are formulas — change Team Roster and this sheet recalculates</t>
        </is>
      </c>
    </row>
    <row r="4">
      <c r="A4" s="298" t="inlineStr">
        <is>
          <t>Team Size</t>
        </is>
      </c>
      <c r="C4" s="298" t="inlineStr">
        <is>
          <t>Active Projects</t>
        </is>
      </c>
      <c r="E4" s="298" t="inlineStr">
        <is>
          <t>Weekly Supply</t>
        </is>
      </c>
      <c r="G4" s="298" t="inlineStr">
        <is>
          <t>Weekly Demand</t>
        </is>
      </c>
      <c r="I4" s="298" t="inlineStr">
        <is>
          <t>Utilization</t>
        </is>
      </c>
    </row>
    <row r="5">
      <c r="A5" s="299">
        <f>B18</f>
        <v/>
      </c>
      <c r="C5" s="299" t="n">
        <v>15</v>
      </c>
      <c r="E5" s="299">
        <f>TEXT(D18,"0")&amp;" hrs"</f>
        <v/>
      </c>
      <c r="G5" s="299">
        <f>TEXT(E18,"0")&amp;" hrs"</f>
        <v/>
      </c>
      <c r="I5" s="299">
        <f>IFERROR(TEXT(E18/D18,"0%"),"0%")</f>
        <v/>
      </c>
    </row>
    <row r="8">
      <c r="A8" s="273" t="inlineStr">
        <is>
          <t>Supply vs. Demand by Role</t>
        </is>
      </c>
    </row>
    <row r="9">
      <c r="A9" s="300" t="inlineStr">
        <is>
          <t>Role</t>
        </is>
      </c>
      <c r="B9" s="300" t="inlineStr">
        <is>
          <t>Headcount</t>
        </is>
      </c>
      <c r="C9" s="300" t="inlineStr">
        <is>
          <t>Per-Person
(hrs/wk)</t>
        </is>
      </c>
      <c r="D9" s="300" t="inlineStr">
        <is>
          <t>Team Supply
(hrs/wk)</t>
        </is>
      </c>
      <c r="E9" s="300" t="inlineStr">
        <is>
          <t>Team Demand
(hrs/wk)</t>
        </is>
      </c>
      <c r="F9" s="300" t="inlineStr">
        <is>
          <t>Gap
(hrs/wk)</t>
        </is>
      </c>
      <c r="G9" s="300" t="inlineStr">
        <is>
          <t>Utilization</t>
        </is>
      </c>
      <c r="H9" s="300" t="inlineStr">
        <is>
          <t>Status</t>
        </is>
      </c>
    </row>
    <row r="10">
      <c r="A10" s="287" t="inlineStr">
        <is>
          <t>Project Manager</t>
        </is>
      </c>
      <c r="B10" s="282">
        <f>COUNTIF('Team Roster'!$B$4:$B$26,"Project Manager")</f>
        <v/>
      </c>
      <c r="C10" s="283">
        <f>IFERROR(AVERAGEIFS('Team Roster'!$K$4:$K$26,'Team Roster'!$B$4:$B$26,"Project Manager"),0)</f>
        <v/>
      </c>
      <c r="D10" s="283">
        <f>SUMIFS('Team Roster'!$K$4:$K$26,'Team Roster'!$B$4:$B$26,"Project Manager")</f>
        <v/>
      </c>
      <c r="E10" s="283" t="n">
        <v>0</v>
      </c>
      <c r="F10" s="301">
        <f>D10-E10</f>
        <v/>
      </c>
      <c r="G10" s="279">
        <f>IFERROR(E10/D10,0)</f>
        <v/>
      </c>
      <c r="H10" s="302">
        <f>IF(G10&gt;=1,"RED",IF(G10&gt;=0.8,"YELLOW","GREEN"))</f>
        <v/>
      </c>
    </row>
    <row r="11">
      <c r="A11" s="287" t="inlineStr">
        <is>
          <t>DBA</t>
        </is>
      </c>
      <c r="B11" s="282">
        <f>COUNTIF('Team Roster'!$B$4:$B$26,"DBA")</f>
        <v/>
      </c>
      <c r="C11" s="283">
        <f>IFERROR(AVERAGEIFS('Team Roster'!$K$4:$K$26,'Team Roster'!$B$4:$B$26,"DBA"),0)</f>
        <v/>
      </c>
      <c r="D11" s="283">
        <f>SUMIFS('Team Roster'!$K$4:$K$26,'Team Roster'!$B$4:$B$26,"DBA")</f>
        <v/>
      </c>
      <c r="E11" s="283" t="n">
        <v>0</v>
      </c>
      <c r="F11" s="301">
        <f>D11-E11</f>
        <v/>
      </c>
      <c r="G11" s="279">
        <f>IFERROR(E11/D11,0)</f>
        <v/>
      </c>
      <c r="H11" s="302">
        <f>IF(G11&gt;=1,"RED",IF(G11&gt;=0.8,"YELLOW","GREEN"))</f>
        <v/>
      </c>
    </row>
    <row r="12">
      <c r="A12" s="287" t="inlineStr">
        <is>
          <t>IT Business Analyst/SME</t>
        </is>
      </c>
      <c r="B12" s="282">
        <f>COUNTIF('Team Roster'!$B$4:$B$26,"Business Analyst")</f>
        <v/>
      </c>
      <c r="C12" s="283">
        <f>IFERROR(AVERAGEIFS('Team Roster'!$K$4:$K$26,'Team Roster'!$B$4:$B$26,"Business Analyst"),0)</f>
        <v/>
      </c>
      <c r="D12" s="283">
        <f>SUMIFS('Team Roster'!$K$4:$K$26,'Team Roster'!$B$4:$B$26,"Business Analyst")</f>
        <v/>
      </c>
      <c r="E12" s="283" t="n">
        <v>0</v>
      </c>
      <c r="F12" s="301">
        <f>D12-E12</f>
        <v/>
      </c>
      <c r="G12" s="279">
        <f>IFERROR(E12/D12,0)</f>
        <v/>
      </c>
      <c r="H12" s="302">
        <f>IF(G12&gt;=1,"RED",IF(G12&gt;=0.8,"YELLOW","GREEN"))</f>
        <v/>
      </c>
    </row>
    <row r="13">
      <c r="A13" s="287" t="inlineStr">
        <is>
          <t>IT Functional Analyst</t>
        </is>
      </c>
      <c r="B13" s="282">
        <f>COUNTIF('Team Roster'!$B$4:$B$26,"Functional")</f>
        <v/>
      </c>
      <c r="C13" s="283">
        <f>IFERROR(AVERAGEIFS('Team Roster'!$K$4:$K$26,'Team Roster'!$B$4:$B$26,"Functional"),0)</f>
        <v/>
      </c>
      <c r="D13" s="283">
        <f>SUMIFS('Team Roster'!$K$4:$K$26,'Team Roster'!$B$4:$B$26,"Functional")</f>
        <v/>
      </c>
      <c r="E13" s="283" t="n">
        <v>0</v>
      </c>
      <c r="F13" s="301">
        <f>D13-E13</f>
        <v/>
      </c>
      <c r="G13" s="279">
        <f>IFERROR(E13/D13,0)</f>
        <v/>
      </c>
      <c r="H13" s="302">
        <f>IF(G13&gt;=1,"RED",IF(G13&gt;=0.8,"YELLOW","GREEN"))</f>
        <v/>
      </c>
    </row>
    <row r="14">
      <c r="A14" s="287" t="inlineStr">
        <is>
          <t>IT Tech Analyst/Developer</t>
        </is>
      </c>
      <c r="B14" s="282">
        <f>COUNTIF('Team Roster'!$B$4:$B$26,"Technical")</f>
        <v/>
      </c>
      <c r="C14" s="283">
        <f>IFERROR(AVERAGEIFS('Team Roster'!$K$4:$K$26,'Team Roster'!$B$4:$B$26,"Technical"),0)</f>
        <v/>
      </c>
      <c r="D14" s="283">
        <f>SUMIFS('Team Roster'!$K$4:$K$26,'Team Roster'!$B$4:$B$26,"Technical")</f>
        <v/>
      </c>
      <c r="E14" s="283" t="n">
        <v>0</v>
      </c>
      <c r="F14" s="301">
        <f>D14-E14</f>
        <v/>
      </c>
      <c r="G14" s="279">
        <f>IFERROR(E14/D14,0)</f>
        <v/>
      </c>
      <c r="H14" s="302">
        <f>IF(G14&gt;=1,"RED",IF(G14&gt;=0.8,"YELLOW","GREEN"))</f>
        <v/>
      </c>
    </row>
    <row r="15">
      <c r="A15" s="287" t="inlineStr">
        <is>
          <t>Developer</t>
        </is>
      </c>
      <c r="B15" s="282">
        <f>COUNTIF('Team Roster'!$B$4:$B$26,"Developer")</f>
        <v/>
      </c>
      <c r="C15" s="283">
        <f>IFERROR(AVERAGEIFS('Team Roster'!$K$4:$K$26,'Team Roster'!$B$4:$B$26,"Developer"),0)</f>
        <v/>
      </c>
      <c r="D15" s="283">
        <f>SUMIFS('Team Roster'!$K$4:$K$26,'Team Roster'!$B$4:$B$26,"Developer")</f>
        <v/>
      </c>
      <c r="E15" s="283" t="n">
        <v>0</v>
      </c>
      <c r="F15" s="301">
        <f>D15-E15</f>
        <v/>
      </c>
      <c r="G15" s="279">
        <f>IFERROR(E15/D15,0)</f>
        <v/>
      </c>
      <c r="H15" s="302">
        <f>IF(G15&gt;=1,"RED",IF(G15&gt;=0.8,"YELLOW","GREEN"))</f>
        <v/>
      </c>
    </row>
    <row r="16">
      <c r="A16" s="287" t="inlineStr">
        <is>
          <t>Infrastructure</t>
        </is>
      </c>
      <c r="B16" s="282">
        <f>COUNTIF('Team Roster'!$B$4:$B$26,"Infrastructure")</f>
        <v/>
      </c>
      <c r="C16" s="283">
        <f>IFERROR(AVERAGEIFS('Team Roster'!$K$4:$K$26,'Team Roster'!$B$4:$B$26,"Infrastructure"),0)</f>
        <v/>
      </c>
      <c r="D16" s="283">
        <f>SUMIFS('Team Roster'!$K$4:$K$26,'Team Roster'!$B$4:$B$26,"Infrastructure")</f>
        <v/>
      </c>
      <c r="E16" s="283" t="n">
        <v>0</v>
      </c>
      <c r="F16" s="301">
        <f>D16-E16</f>
        <v/>
      </c>
      <c r="G16" s="279">
        <f>IFERROR(E16/D16,0)</f>
        <v/>
      </c>
      <c r="H16" s="302">
        <f>IF(G16&gt;=1,"RED",IF(G16&gt;=0.8,"YELLOW","GREEN"))</f>
        <v/>
      </c>
    </row>
    <row r="17">
      <c r="A17" s="287" t="inlineStr">
        <is>
          <t>WMS Consultant</t>
        </is>
      </c>
      <c r="B17" s="282">
        <f>COUNTIF('Team Roster'!$B$4:$B$26,"WMS Consultant")</f>
        <v/>
      </c>
      <c r="C17" s="283">
        <f>IFERROR(AVERAGEIFS('Team Roster'!$K$4:$K$26,'Team Roster'!$B$4:$B$26,"WMS Consultant"),0)</f>
        <v/>
      </c>
      <c r="D17" s="283">
        <f>SUMIFS('Team Roster'!$K$4:$K$26,'Team Roster'!$B$4:$B$26,"WMS Consultant")</f>
        <v/>
      </c>
      <c r="E17" s="283" t="n">
        <v>0</v>
      </c>
      <c r="F17" s="301">
        <f>D17-E17</f>
        <v/>
      </c>
      <c r="G17" s="279">
        <f>IFERROR(E17/D17,0)</f>
        <v/>
      </c>
      <c r="H17" s="302">
        <f>IF(G17&gt;=1,"RED",IF(G17&gt;=0.8,"YELLOW","GREEN"))</f>
        <v/>
      </c>
    </row>
    <row r="18">
      <c r="A18" s="277" t="inlineStr">
        <is>
          <t>TOTAL</t>
        </is>
      </c>
      <c r="B18" s="278">
        <f>SUM(B10:B17)</f>
        <v/>
      </c>
      <c r="D18" s="295">
        <f>SUM(D10:D17)</f>
        <v/>
      </c>
      <c r="E18" s="295">
        <f>SUM(E10:E17)</f>
        <v/>
      </c>
      <c r="F18" s="295">
        <f>D18-E18</f>
        <v/>
      </c>
    </row>
    <row r="21">
      <c r="A21" s="273" t="inlineStr">
        <is>
          <t>Active Projects — Bottom-Up Duration Estimates</t>
        </is>
      </c>
    </row>
    <row r="22">
      <c r="A22" s="300" t="inlineStr">
        <is>
          <t>ID</t>
        </is>
      </c>
      <c r="B22" s="300" t="inlineStr">
        <is>
          <t>Project</t>
        </is>
      </c>
      <c r="C22" s="300" t="inlineStr">
        <is>
          <t>Priority</t>
        </is>
      </c>
      <c r="D22" s="300" t="inlineStr">
        <is>
          <t>Est Hrs</t>
        </is>
      </c>
      <c r="E22" s="300" t="inlineStr">
        <is>
          <t>Allocated</t>
        </is>
      </c>
      <c r="F22" s="300" t="inlineStr">
        <is>
          <t>Duration
(days)</t>
        </is>
      </c>
      <c r="G22" s="300" t="inlineStr">
        <is>
          <t>Bottleneck
Role</t>
        </is>
      </c>
      <c r="H22" s="300" t="inlineStr">
        <is>
          <t>Start</t>
        </is>
      </c>
      <c r="I22" s="300" t="inlineStr">
        <is>
          <t>End</t>
        </is>
      </c>
    </row>
    <row r="23">
      <c r="A23" s="303" t="inlineStr">
        <is>
          <t>ETE-124</t>
        </is>
      </c>
      <c r="B23" s="274" t="inlineStr">
        <is>
          <t>Clean Up Return Loads</t>
        </is>
      </c>
      <c r="C23" s="282" t="inlineStr">
        <is>
          <t>Highest</t>
        </is>
      </c>
      <c r="D23" s="282" t="n">
        <v>200</v>
      </c>
      <c r="E23" s="304" t="n">
        <v>220</v>
      </c>
      <c r="F23" s="282" t="n">
        <v/>
      </c>
      <c r="G23" s="282" t="inlineStr">
        <is>
          <t>IT Business Analyst/SME</t>
        </is>
      </c>
      <c r="H23" s="305" t="inlineStr">
        <is>
          <t>TBD</t>
        </is>
      </c>
      <c r="I23" s="305" t="inlineStr">
        <is>
          <t>TBD</t>
        </is>
      </c>
    </row>
    <row r="24">
      <c r="A24" s="303" t="inlineStr">
        <is>
          <t>ETE-37</t>
        </is>
      </c>
      <c r="B24" s="274" t="inlineStr">
        <is>
          <t>Magic Search in BuyETE</t>
        </is>
      </c>
      <c r="C24" s="282" t="inlineStr">
        <is>
          <t>Highest</t>
        </is>
      </c>
      <c r="D24" s="282" t="n">
        <v>40</v>
      </c>
      <c r="E24" s="282" t="n">
        <v>40</v>
      </c>
      <c r="F24" s="282" t="n">
        <v/>
      </c>
      <c r="G24" s="282" t="inlineStr">
        <is>
          <t>IT Business Analyst/SME</t>
        </is>
      </c>
      <c r="H24" s="305" t="inlineStr">
        <is>
          <t>TBD</t>
        </is>
      </c>
      <c r="I24" s="305" t="inlineStr">
        <is>
          <t>TBD</t>
        </is>
      </c>
    </row>
    <row r="25">
      <c r="A25" s="303" t="inlineStr">
        <is>
          <t>ETE-97</t>
        </is>
      </c>
      <c r="B25" s="274" t="inlineStr">
        <is>
          <t>Standard Order Process Notifications</t>
        </is>
      </c>
      <c r="C25" s="282" t="inlineStr">
        <is>
          <t>Highest</t>
        </is>
      </c>
      <c r="D25" s="282" t="n">
        <v>200</v>
      </c>
      <c r="E25" s="304" t="n">
        <v>170</v>
      </c>
      <c r="F25" s="282" t="n">
        <v/>
      </c>
      <c r="G25" s="282" t="inlineStr">
        <is>
          <t>IT Business Analyst/SME</t>
        </is>
      </c>
      <c r="H25" s="305" t="inlineStr">
        <is>
          <t>TBD</t>
        </is>
      </c>
      <c r="I25" s="305" t="inlineStr">
        <is>
          <t>TBD</t>
        </is>
      </c>
    </row>
    <row r="26">
      <c r="A26" s="303" t="inlineStr">
        <is>
          <t>ETE-68</t>
        </is>
      </c>
      <c r="B26" s="274" t="inlineStr">
        <is>
          <t>Catalog API Rust2Python</t>
        </is>
      </c>
      <c r="C26" s="282" t="inlineStr">
        <is>
          <t>High</t>
        </is>
      </c>
      <c r="D26" s="282" t="n">
        <v>640</v>
      </c>
      <c r="E26" s="304" t="n">
        <v>544</v>
      </c>
      <c r="F26" s="282" t="n">
        <v/>
      </c>
      <c r="G26" s="282" t="inlineStr">
        <is>
          <t>IT Business Analyst/SME</t>
        </is>
      </c>
      <c r="H26" s="282" t="inlineStr">
        <is>
          <t>11/17/2025</t>
        </is>
      </c>
      <c r="I26" s="282" t="inlineStr">
        <is>
          <t>04/24/2026</t>
        </is>
      </c>
    </row>
    <row r="27">
      <c r="A27" s="303" t="inlineStr">
        <is>
          <t>ETE-19</t>
        </is>
      </c>
      <c r="B27" s="274" t="inlineStr">
        <is>
          <t>Changes to AR Aging Report</t>
        </is>
      </c>
      <c r="C27" s="282" t="inlineStr">
        <is>
          <t>High</t>
        </is>
      </c>
      <c r="D27" s="282" t="n">
        <v>120</v>
      </c>
      <c r="E27" s="282" t="n">
        <v>120</v>
      </c>
      <c r="F27" s="282" t="n">
        <v/>
      </c>
      <c r="G27" s="282" t="inlineStr">
        <is>
          <t>IT Business Analyst/SME</t>
        </is>
      </c>
      <c r="H27" s="282" t="inlineStr">
        <is>
          <t>02/23/2026</t>
        </is>
      </c>
      <c r="I27" s="282" t="inlineStr">
        <is>
          <t>04/17/2026</t>
        </is>
      </c>
    </row>
    <row r="28">
      <c r="A28" s="303" t="inlineStr">
        <is>
          <t>ETE-83</t>
        </is>
      </c>
      <c r="B28" s="274" t="inlineStr">
        <is>
          <t>Customer Master Data Cleanup</t>
        </is>
      </c>
      <c r="C28" s="282" t="inlineStr">
        <is>
          <t>High</t>
        </is>
      </c>
      <c r="D28" s="282" t="n">
        <v>1480</v>
      </c>
      <c r="E28" s="304" t="n">
        <v>148</v>
      </c>
      <c r="F28" s="282" t="n">
        <v/>
      </c>
      <c r="G28" s="282" t="inlineStr">
        <is>
          <t>IT Business Analyst/SME</t>
        </is>
      </c>
      <c r="H28" s="282" t="inlineStr">
        <is>
          <t>10/14/2025</t>
        </is>
      </c>
      <c r="I28" s="282" t="inlineStr">
        <is>
          <t>06/01/2026</t>
        </is>
      </c>
    </row>
    <row r="29">
      <c r="A29" s="303" t="inlineStr">
        <is>
          <t>ETE-48</t>
        </is>
      </c>
      <c r="B29" s="274" t="inlineStr">
        <is>
          <t>System Connection Syteline-VKS</t>
        </is>
      </c>
      <c r="C29" s="282" t="inlineStr">
        <is>
          <t>High</t>
        </is>
      </c>
      <c r="D29" s="282" t="n">
        <v>240</v>
      </c>
      <c r="E29" s="304" t="n">
        <v>84</v>
      </c>
      <c r="F29" s="282" t="n">
        <v/>
      </c>
      <c r="G29" s="282" t="inlineStr">
        <is>
          <t>IT Business Analyst/SME</t>
        </is>
      </c>
      <c r="H29" s="282" t="inlineStr">
        <is>
          <t>02/15/2026</t>
        </is>
      </c>
      <c r="I29" s="282" t="inlineStr">
        <is>
          <t>06/30/2026</t>
        </is>
      </c>
    </row>
    <row r="30">
      <c r="A30" s="303" t="inlineStr">
        <is>
          <t>ETE-100</t>
        </is>
      </c>
      <c r="B30" s="274" t="inlineStr">
        <is>
          <t>ATSG Expired Members Self-Payment</t>
        </is>
      </c>
      <c r="C30" s="282" t="inlineStr">
        <is>
          <t>Medium</t>
        </is>
      </c>
      <c r="D30" s="282" t="n">
        <v>200</v>
      </c>
      <c r="E30" s="304" t="n">
        <v>170</v>
      </c>
      <c r="F30" s="282" t="n">
        <v/>
      </c>
      <c r="G30" s="282" t="inlineStr">
        <is>
          <t>IT Business Analyst/SME</t>
        </is>
      </c>
      <c r="H30" s="305" t="inlineStr">
        <is>
          <t>TBD</t>
        </is>
      </c>
      <c r="I30" s="305" t="inlineStr">
        <is>
          <t>TBD</t>
        </is>
      </c>
    </row>
    <row r="31">
      <c r="A31" s="303" t="inlineStr">
        <is>
          <t>ETE-49</t>
        </is>
      </c>
      <c r="B31" s="274" t="inlineStr">
        <is>
          <t>Marketing: STE Rewards Tier</t>
        </is>
      </c>
      <c r="C31" s="282" t="inlineStr">
        <is>
          <t>Medium</t>
        </is>
      </c>
      <c r="D31" s="282" t="n">
        <v>240</v>
      </c>
      <c r="E31" s="304" t="n">
        <v>204</v>
      </c>
      <c r="F31" s="282" t="n">
        <v/>
      </c>
      <c r="G31" s="282" t="inlineStr">
        <is>
          <t>IT Business Analyst/SME</t>
        </is>
      </c>
      <c r="H31" s="305" t="inlineStr">
        <is>
          <t>TBD</t>
        </is>
      </c>
      <c r="I31" s="305" t="inlineStr">
        <is>
          <t>TBD</t>
        </is>
      </c>
    </row>
    <row r="32">
      <c r="A32" s="303" t="inlineStr">
        <is>
          <t>ETE-7</t>
        </is>
      </c>
      <c r="B32" s="274" t="inlineStr">
        <is>
          <t>Outsourced Unit Core Accounting</t>
        </is>
      </c>
      <c r="C32" s="282" t="inlineStr">
        <is>
          <t>Medium</t>
        </is>
      </c>
      <c r="D32" s="282" t="n">
        <v>640</v>
      </c>
      <c r="E32" s="282" t="n">
        <v>640</v>
      </c>
      <c r="F32" s="282" t="n">
        <v/>
      </c>
      <c r="G32" s="282" t="inlineStr">
        <is>
          <t>IT Business Analyst/SME</t>
        </is>
      </c>
      <c r="H32" s="305" t="inlineStr">
        <is>
          <t>TBD</t>
        </is>
      </c>
      <c r="I32" s="305" t="inlineStr">
        <is>
          <t>TBD</t>
        </is>
      </c>
    </row>
    <row r="33">
      <c r="A33" s="303" t="inlineStr">
        <is>
          <t>ETE-16</t>
        </is>
      </c>
      <c r="B33" s="274" t="inlineStr">
        <is>
          <t>Partial Pay w/ CC from WMERP</t>
        </is>
      </c>
      <c r="C33" s="282" t="inlineStr">
        <is>
          <t>Medium</t>
        </is>
      </c>
      <c r="D33" s="282" t="n">
        <v>120</v>
      </c>
      <c r="E33" s="282" t="n">
        <v>120</v>
      </c>
      <c r="F33" s="282" t="n">
        <v/>
      </c>
      <c r="G33" s="282" t="inlineStr">
        <is>
          <t>IT Business Analyst/SME</t>
        </is>
      </c>
      <c r="H33" s="305" t="inlineStr">
        <is>
          <t>TBD</t>
        </is>
      </c>
      <c r="I33" s="305" t="inlineStr">
        <is>
          <t>TBD</t>
        </is>
      </c>
    </row>
    <row r="34">
      <c r="A34" s="303" t="inlineStr">
        <is>
          <t>ETE-52</t>
        </is>
      </c>
      <c r="B34" s="274" t="inlineStr">
        <is>
          <t>SWIMS/Syteline Reporting</t>
        </is>
      </c>
      <c r="C34" s="282" t="inlineStr">
        <is>
          <t>Medium</t>
        </is>
      </c>
      <c r="D34" s="282" t="n">
        <v>40</v>
      </c>
      <c r="E34" s="304" t="n">
        <v>34</v>
      </c>
      <c r="F34" s="282" t="n">
        <v/>
      </c>
      <c r="G34" s="282" t="inlineStr">
        <is>
          <t>IT Business Analyst/SME</t>
        </is>
      </c>
      <c r="H34" s="305" t="inlineStr">
        <is>
          <t>TBD</t>
        </is>
      </c>
      <c r="I34" s="305" t="inlineStr">
        <is>
          <t>TBD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</cols>
  <sheetData>
    <row r="1">
      <c r="A1" s="270" t="inlineStr">
        <is>
          <t>ETE IT PMO — Role Capacity Planner</t>
        </is>
      </c>
    </row>
    <row r="2">
      <c r="A2" s="271" t="inlineStr">
        <is>
          <t>Scenario table uses formulas — change Team Roster and scenarios recalculate</t>
        </is>
      </c>
    </row>
    <row r="4">
      <c r="A4" s="273" t="inlineStr">
        <is>
          <t>Headcount Scenario Analysis</t>
        </is>
      </c>
    </row>
    <row r="5">
      <c r="A5" s="271" t="inlineStr">
        <is>
          <t>Shows current state and impact of adding +1, +2, or +3 people per role</t>
        </is>
      </c>
    </row>
    <row r="7">
      <c r="A7" s="300" t="inlineStr">
        <is>
          <t>Role</t>
        </is>
      </c>
      <c r="B7" s="300" t="inlineStr">
        <is>
          <t>Current
Headcount</t>
        </is>
      </c>
      <c r="C7" s="300" t="inlineStr">
        <is>
          <t>Per-Person
(hrs/wk)</t>
        </is>
      </c>
      <c r="D7" s="300" t="inlineStr">
        <is>
          <t>Team Supply
(hrs/wk)</t>
        </is>
      </c>
      <c r="E7" s="300" t="inlineStr">
        <is>
          <t>Demand
(hrs/wk)</t>
        </is>
      </c>
      <c r="F7" s="300" t="inlineStr">
        <is>
          <t>Current
Util %</t>
        </is>
      </c>
      <c r="G7" s="300" t="inlineStr">
        <is>
          <t>Status</t>
        </is>
      </c>
      <c r="H7" s="300" t="inlineStr">
        <is>
          <t>+1 Person
Supply</t>
        </is>
      </c>
      <c r="I7" s="300" t="inlineStr">
        <is>
          <t>+1 Person
Util %</t>
        </is>
      </c>
      <c r="J7" s="300" t="inlineStr">
        <is>
          <t>+1 Status</t>
        </is>
      </c>
      <c r="K7" s="300" t="inlineStr">
        <is>
          <t>+2 People
Supply</t>
        </is>
      </c>
      <c r="L7" s="300" t="inlineStr">
        <is>
          <t>+2 People
Util %</t>
        </is>
      </c>
      <c r="M7" s="300" t="inlineStr">
        <is>
          <t>+2 Status</t>
        </is>
      </c>
      <c r="N7" s="300" t="inlineStr">
        <is>
          <t>+3 People
Supply</t>
        </is>
      </c>
      <c r="O7" s="300" t="inlineStr">
        <is>
          <t>+3 People
Util %</t>
        </is>
      </c>
      <c r="P7" s="300" t="inlineStr">
        <is>
          <t>+3 Status</t>
        </is>
      </c>
    </row>
    <row r="8">
      <c r="A8" s="287" t="inlineStr">
        <is>
          <t>Project Manager</t>
        </is>
      </c>
      <c r="B8" s="282">
        <f>COUNTIF('Team Roster'!$B$4:$B$26,"Project Manager")</f>
        <v/>
      </c>
      <c r="C8" s="283">
        <f>IFERROR(AVERAGEIFS('Team Roster'!$K$4:$K$26,'Team Roster'!$B$4:$B$26,"Project Manager"),0)</f>
        <v/>
      </c>
      <c r="D8" s="283">
        <f>SUMIFS('Team Roster'!$K$4:$K$26,'Team Roster'!$B$4:$B$26,"Project Manager")</f>
        <v/>
      </c>
      <c r="E8" s="283" t="n">
        <v>0</v>
      </c>
      <c r="F8" s="306">
        <f>IFERROR(E8/D8,0)</f>
        <v/>
      </c>
      <c r="G8" s="302">
        <f>IF(F8&gt;=1,"OVER",IF(F8&gt;=0.85,"AT LIMIT",IF(F8&gt;=0.8,"TIGHT","OK")))</f>
        <v/>
      </c>
      <c r="H8" s="283">
        <f>D8+C8*1</f>
        <v/>
      </c>
      <c r="I8" s="306">
        <f>IFERROR(E8/H8,0)</f>
        <v/>
      </c>
      <c r="J8" s="302">
        <f>IF(I8&gt;=1,"OVER",IF(I8&gt;=0.85,"AT LIMIT",IF(I8&gt;=0.8,"TIGHT","OK")))</f>
        <v/>
      </c>
      <c r="K8" s="283">
        <f>D8+C8*2</f>
        <v/>
      </c>
      <c r="L8" s="306">
        <f>IFERROR(E8/K8,0)</f>
        <v/>
      </c>
      <c r="M8" s="302">
        <f>IF(L8&gt;=1,"OVER",IF(L8&gt;=0.85,"AT LIMIT",IF(L8&gt;=0.8,"TIGHT","OK")))</f>
        <v/>
      </c>
      <c r="N8" s="283">
        <f>D8+C8*3</f>
        <v/>
      </c>
      <c r="O8" s="306">
        <f>IFERROR(E8/N8,0)</f>
        <v/>
      </c>
      <c r="P8" s="302">
        <f>IF(O8&gt;=1,"OVER",IF(O8&gt;=0.85,"AT LIMIT",IF(O8&gt;=0.8,"TIGHT","OK")))</f>
        <v/>
      </c>
    </row>
    <row r="9">
      <c r="A9" s="287" t="inlineStr">
        <is>
          <t>DBA</t>
        </is>
      </c>
      <c r="B9" s="282">
        <f>COUNTIF('Team Roster'!$B$4:$B$26,"DBA")</f>
        <v/>
      </c>
      <c r="C9" s="283">
        <f>IFERROR(AVERAGEIFS('Team Roster'!$K$4:$K$26,'Team Roster'!$B$4:$B$26,"DBA"),0)</f>
        <v/>
      </c>
      <c r="D9" s="283">
        <f>SUMIFS('Team Roster'!$K$4:$K$26,'Team Roster'!$B$4:$B$26,"DBA")</f>
        <v/>
      </c>
      <c r="E9" s="283" t="n">
        <v>0</v>
      </c>
      <c r="F9" s="306">
        <f>IFERROR(E9/D9,0)</f>
        <v/>
      </c>
      <c r="G9" s="302">
        <f>IF(F9&gt;=1,"OVER",IF(F9&gt;=0.85,"AT LIMIT",IF(F9&gt;=0.8,"TIGHT","OK")))</f>
        <v/>
      </c>
      <c r="H9" s="283">
        <f>D9+C9*1</f>
        <v/>
      </c>
      <c r="I9" s="306">
        <f>IFERROR(E9/H9,0)</f>
        <v/>
      </c>
      <c r="J9" s="302">
        <f>IF(I9&gt;=1,"OVER",IF(I9&gt;=0.85,"AT LIMIT",IF(I9&gt;=0.8,"TIGHT","OK")))</f>
        <v/>
      </c>
      <c r="K9" s="283">
        <f>D9+C9*2</f>
        <v/>
      </c>
      <c r="L9" s="306">
        <f>IFERROR(E9/K9,0)</f>
        <v/>
      </c>
      <c r="M9" s="302">
        <f>IF(L9&gt;=1,"OVER",IF(L9&gt;=0.85,"AT LIMIT",IF(L9&gt;=0.8,"TIGHT","OK")))</f>
        <v/>
      </c>
      <c r="N9" s="283">
        <f>D9+C9*3</f>
        <v/>
      </c>
      <c r="O9" s="306">
        <f>IFERROR(E9/N9,0)</f>
        <v/>
      </c>
      <c r="P9" s="302">
        <f>IF(O9&gt;=1,"OVER",IF(O9&gt;=0.85,"AT LIMIT",IF(O9&gt;=0.8,"TIGHT","OK")))</f>
        <v/>
      </c>
    </row>
    <row r="10">
      <c r="A10" s="287" t="inlineStr">
        <is>
          <t>IT Business Analyst/SME</t>
        </is>
      </c>
      <c r="B10" s="282">
        <f>COUNTIF('Team Roster'!$B$4:$B$26,"Business Analyst")</f>
        <v/>
      </c>
      <c r="C10" s="283">
        <f>IFERROR(AVERAGEIFS('Team Roster'!$K$4:$K$26,'Team Roster'!$B$4:$B$26,"Business Analyst"),0)</f>
        <v/>
      </c>
      <c r="D10" s="283">
        <f>SUMIFS('Team Roster'!$K$4:$K$26,'Team Roster'!$B$4:$B$26,"Business Analyst")</f>
        <v/>
      </c>
      <c r="E10" s="283" t="n">
        <v>0</v>
      </c>
      <c r="F10" s="306">
        <f>IFERROR(E10/D10,0)</f>
        <v/>
      </c>
      <c r="G10" s="302">
        <f>IF(F10&gt;=1,"OVER",IF(F10&gt;=0.85,"AT LIMIT",IF(F10&gt;=0.8,"TIGHT","OK")))</f>
        <v/>
      </c>
      <c r="H10" s="283">
        <f>D10+C10*1</f>
        <v/>
      </c>
      <c r="I10" s="306">
        <f>IFERROR(E10/H10,0)</f>
        <v/>
      </c>
      <c r="J10" s="302">
        <f>IF(I10&gt;=1,"OVER",IF(I10&gt;=0.85,"AT LIMIT",IF(I10&gt;=0.8,"TIGHT","OK")))</f>
        <v/>
      </c>
      <c r="K10" s="283">
        <f>D10+C10*2</f>
        <v/>
      </c>
      <c r="L10" s="306">
        <f>IFERROR(E10/K10,0)</f>
        <v/>
      </c>
      <c r="M10" s="302">
        <f>IF(L10&gt;=1,"OVER",IF(L10&gt;=0.85,"AT LIMIT",IF(L10&gt;=0.8,"TIGHT","OK")))</f>
        <v/>
      </c>
      <c r="N10" s="283">
        <f>D10+C10*3</f>
        <v/>
      </c>
      <c r="O10" s="306">
        <f>IFERROR(E10/N10,0)</f>
        <v/>
      </c>
      <c r="P10" s="302">
        <f>IF(O10&gt;=1,"OVER",IF(O10&gt;=0.85,"AT LIMIT",IF(O10&gt;=0.8,"TIGHT","OK")))</f>
        <v/>
      </c>
    </row>
    <row r="11">
      <c r="A11" s="287" t="inlineStr">
        <is>
          <t>IT Functional Analyst</t>
        </is>
      </c>
      <c r="B11" s="282">
        <f>COUNTIF('Team Roster'!$B$4:$B$26,"Functional")</f>
        <v/>
      </c>
      <c r="C11" s="283">
        <f>IFERROR(AVERAGEIFS('Team Roster'!$K$4:$K$26,'Team Roster'!$B$4:$B$26,"Functional"),0)</f>
        <v/>
      </c>
      <c r="D11" s="283">
        <f>SUMIFS('Team Roster'!$K$4:$K$26,'Team Roster'!$B$4:$B$26,"Functional")</f>
        <v/>
      </c>
      <c r="E11" s="283" t="n">
        <v>0</v>
      </c>
      <c r="F11" s="306">
        <f>IFERROR(E11/D11,0)</f>
        <v/>
      </c>
      <c r="G11" s="302">
        <f>IF(F11&gt;=1,"OVER",IF(F11&gt;=0.85,"AT LIMIT",IF(F11&gt;=0.8,"TIGHT","OK")))</f>
        <v/>
      </c>
      <c r="H11" s="283">
        <f>D11+C11*1</f>
        <v/>
      </c>
      <c r="I11" s="306">
        <f>IFERROR(E11/H11,0)</f>
        <v/>
      </c>
      <c r="J11" s="302">
        <f>IF(I11&gt;=1,"OVER",IF(I11&gt;=0.85,"AT LIMIT",IF(I11&gt;=0.8,"TIGHT","OK")))</f>
        <v/>
      </c>
      <c r="K11" s="283">
        <f>D11+C11*2</f>
        <v/>
      </c>
      <c r="L11" s="306">
        <f>IFERROR(E11/K11,0)</f>
        <v/>
      </c>
      <c r="M11" s="302">
        <f>IF(L11&gt;=1,"OVER",IF(L11&gt;=0.85,"AT LIMIT",IF(L11&gt;=0.8,"TIGHT","OK")))</f>
        <v/>
      </c>
      <c r="N11" s="283">
        <f>D11+C11*3</f>
        <v/>
      </c>
      <c r="O11" s="306">
        <f>IFERROR(E11/N11,0)</f>
        <v/>
      </c>
      <c r="P11" s="302">
        <f>IF(O11&gt;=1,"OVER",IF(O11&gt;=0.85,"AT LIMIT",IF(O11&gt;=0.8,"TIGHT","OK")))</f>
        <v/>
      </c>
    </row>
    <row r="12">
      <c r="A12" s="287" t="inlineStr">
        <is>
          <t>IT Tech Analyst/Developer</t>
        </is>
      </c>
      <c r="B12" s="282">
        <f>COUNTIF('Team Roster'!$B$4:$B$26,"Technical")</f>
        <v/>
      </c>
      <c r="C12" s="283">
        <f>IFERROR(AVERAGEIFS('Team Roster'!$K$4:$K$26,'Team Roster'!$B$4:$B$26,"Technical"),0)</f>
        <v/>
      </c>
      <c r="D12" s="283">
        <f>SUMIFS('Team Roster'!$K$4:$K$26,'Team Roster'!$B$4:$B$26,"Technical")</f>
        <v/>
      </c>
      <c r="E12" s="283" t="n">
        <v>0</v>
      </c>
      <c r="F12" s="306">
        <f>IFERROR(E12/D12,0)</f>
        <v/>
      </c>
      <c r="G12" s="302">
        <f>IF(F12&gt;=1,"OVER",IF(F12&gt;=0.85,"AT LIMIT",IF(F12&gt;=0.8,"TIGHT","OK")))</f>
        <v/>
      </c>
      <c r="H12" s="283">
        <f>D12+C12*1</f>
        <v/>
      </c>
      <c r="I12" s="306">
        <f>IFERROR(E12/H12,0)</f>
        <v/>
      </c>
      <c r="J12" s="302">
        <f>IF(I12&gt;=1,"OVER",IF(I12&gt;=0.85,"AT LIMIT",IF(I12&gt;=0.8,"TIGHT","OK")))</f>
        <v/>
      </c>
      <c r="K12" s="283">
        <f>D12+C12*2</f>
        <v/>
      </c>
      <c r="L12" s="306">
        <f>IFERROR(E12/K12,0)</f>
        <v/>
      </c>
      <c r="M12" s="302">
        <f>IF(L12&gt;=1,"OVER",IF(L12&gt;=0.85,"AT LIMIT",IF(L12&gt;=0.8,"TIGHT","OK")))</f>
        <v/>
      </c>
      <c r="N12" s="283">
        <f>D12+C12*3</f>
        <v/>
      </c>
      <c r="O12" s="306">
        <f>IFERROR(E12/N12,0)</f>
        <v/>
      </c>
      <c r="P12" s="302">
        <f>IF(O12&gt;=1,"OVER",IF(O12&gt;=0.85,"AT LIMIT",IF(O12&gt;=0.8,"TIGHT","OK")))</f>
        <v/>
      </c>
    </row>
    <row r="13">
      <c r="A13" s="287" t="inlineStr">
        <is>
          <t>Developer</t>
        </is>
      </c>
      <c r="B13" s="282">
        <f>COUNTIF('Team Roster'!$B$4:$B$26,"Developer")</f>
        <v/>
      </c>
      <c r="C13" s="283">
        <f>IFERROR(AVERAGEIFS('Team Roster'!$K$4:$K$26,'Team Roster'!$B$4:$B$26,"Developer"),0)</f>
        <v/>
      </c>
      <c r="D13" s="283">
        <f>SUMIFS('Team Roster'!$K$4:$K$26,'Team Roster'!$B$4:$B$26,"Developer")</f>
        <v/>
      </c>
      <c r="E13" s="283" t="n">
        <v>0</v>
      </c>
      <c r="F13" s="306">
        <f>IFERROR(E13/D13,0)</f>
        <v/>
      </c>
      <c r="G13" s="302">
        <f>IF(F13&gt;=1,"OVER",IF(F13&gt;=0.85,"AT LIMIT",IF(F13&gt;=0.8,"TIGHT","OK")))</f>
        <v/>
      </c>
      <c r="H13" s="283">
        <f>D13+C13*1</f>
        <v/>
      </c>
      <c r="I13" s="306">
        <f>IFERROR(E13/H13,0)</f>
        <v/>
      </c>
      <c r="J13" s="302">
        <f>IF(I13&gt;=1,"OVER",IF(I13&gt;=0.85,"AT LIMIT",IF(I13&gt;=0.8,"TIGHT","OK")))</f>
        <v/>
      </c>
      <c r="K13" s="283">
        <f>D13+C13*2</f>
        <v/>
      </c>
      <c r="L13" s="306">
        <f>IFERROR(E13/K13,0)</f>
        <v/>
      </c>
      <c r="M13" s="302">
        <f>IF(L13&gt;=1,"OVER",IF(L13&gt;=0.85,"AT LIMIT",IF(L13&gt;=0.8,"TIGHT","OK")))</f>
        <v/>
      </c>
      <c r="N13" s="283">
        <f>D13+C13*3</f>
        <v/>
      </c>
      <c r="O13" s="306">
        <f>IFERROR(E13/N13,0)</f>
        <v/>
      </c>
      <c r="P13" s="302">
        <f>IF(O13&gt;=1,"OVER",IF(O13&gt;=0.85,"AT LIMIT",IF(O13&gt;=0.8,"TIGHT","OK")))</f>
        <v/>
      </c>
    </row>
    <row r="14">
      <c r="A14" s="287" t="inlineStr">
        <is>
          <t>Infrastructure</t>
        </is>
      </c>
      <c r="B14" s="282">
        <f>COUNTIF('Team Roster'!$B$4:$B$26,"Infrastructure")</f>
        <v/>
      </c>
      <c r="C14" s="283">
        <f>IFERROR(AVERAGEIFS('Team Roster'!$K$4:$K$26,'Team Roster'!$B$4:$B$26,"Infrastructure"),0)</f>
        <v/>
      </c>
      <c r="D14" s="283">
        <f>SUMIFS('Team Roster'!$K$4:$K$26,'Team Roster'!$B$4:$B$26,"Infrastructure")</f>
        <v/>
      </c>
      <c r="E14" s="283" t="n">
        <v>0</v>
      </c>
      <c r="F14" s="306">
        <f>IFERROR(E14/D14,0)</f>
        <v/>
      </c>
      <c r="G14" s="302">
        <f>IF(F14&gt;=1,"OVER",IF(F14&gt;=0.85,"AT LIMIT",IF(F14&gt;=0.8,"TIGHT","OK")))</f>
        <v/>
      </c>
      <c r="H14" s="283">
        <f>D14+C14*1</f>
        <v/>
      </c>
      <c r="I14" s="306">
        <f>IFERROR(E14/H14,0)</f>
        <v/>
      </c>
      <c r="J14" s="302">
        <f>IF(I14&gt;=1,"OVER",IF(I14&gt;=0.85,"AT LIMIT",IF(I14&gt;=0.8,"TIGHT","OK")))</f>
        <v/>
      </c>
      <c r="K14" s="283">
        <f>D14+C14*2</f>
        <v/>
      </c>
      <c r="L14" s="306">
        <f>IFERROR(E14/K14,0)</f>
        <v/>
      </c>
      <c r="M14" s="302">
        <f>IF(L14&gt;=1,"OVER",IF(L14&gt;=0.85,"AT LIMIT",IF(L14&gt;=0.8,"TIGHT","OK")))</f>
        <v/>
      </c>
      <c r="N14" s="283">
        <f>D14+C14*3</f>
        <v/>
      </c>
      <c r="O14" s="306">
        <f>IFERROR(E14/N14,0)</f>
        <v/>
      </c>
      <c r="P14" s="302">
        <f>IF(O14&gt;=1,"OVER",IF(O14&gt;=0.85,"AT LIMIT",IF(O14&gt;=0.8,"TIGHT","OK")))</f>
        <v/>
      </c>
    </row>
    <row r="15">
      <c r="A15" s="287" t="inlineStr">
        <is>
          <t>WMS Consultant</t>
        </is>
      </c>
      <c r="B15" s="282">
        <f>COUNTIF('Team Roster'!$B$4:$B$26,"WMS Consultant")</f>
        <v/>
      </c>
      <c r="C15" s="283">
        <f>IFERROR(AVERAGEIFS('Team Roster'!$K$4:$K$26,'Team Roster'!$B$4:$B$26,"WMS Consultant"),0)</f>
        <v/>
      </c>
      <c r="D15" s="283">
        <f>SUMIFS('Team Roster'!$K$4:$K$26,'Team Roster'!$B$4:$B$26,"WMS Consultant")</f>
        <v/>
      </c>
      <c r="E15" s="283" t="n">
        <v>0</v>
      </c>
      <c r="F15" s="306">
        <f>IFERROR(E15/D15,0)</f>
        <v/>
      </c>
      <c r="G15" s="302">
        <f>IF(F15&gt;=1,"OVER",IF(F15&gt;=0.85,"AT LIMIT",IF(F15&gt;=0.8,"TIGHT","OK")))</f>
        <v/>
      </c>
      <c r="H15" s="283">
        <f>D15+C15*1</f>
        <v/>
      </c>
      <c r="I15" s="306">
        <f>IFERROR(E15/H15,0)</f>
        <v/>
      </c>
      <c r="J15" s="302">
        <f>IF(I15&gt;=1,"OVER",IF(I15&gt;=0.85,"AT LIMIT",IF(I15&gt;=0.8,"TIGHT","OK")))</f>
        <v/>
      </c>
      <c r="K15" s="283">
        <f>D15+C15*2</f>
        <v/>
      </c>
      <c r="L15" s="306">
        <f>IFERROR(E15/K15,0)</f>
        <v/>
      </c>
      <c r="M15" s="302">
        <f>IF(L15&gt;=1,"OVER",IF(L15&gt;=0.85,"AT LIMIT",IF(L15&gt;=0.8,"TIGHT","OK")))</f>
        <v/>
      </c>
      <c r="N15" s="283">
        <f>D15+C15*3</f>
        <v/>
      </c>
      <c r="O15" s="306">
        <f>IFERROR(E15/N15,0)</f>
        <v/>
      </c>
      <c r="P15" s="302">
        <f>IF(O15&gt;=1,"OVER",IF(O15&gt;=0.85,"AT LIMIT",IF(O15&gt;=0.8,"TIGHT","OK")))</f>
        <v/>
      </c>
    </row>
    <row r="18">
      <c r="A18" s="273" t="inlineStr">
        <is>
          <t>Impact on Project Durations (days)</t>
        </is>
      </c>
    </row>
    <row r="19">
      <c r="A19" s="271" t="inlineStr">
        <is>
          <t>How project durations change if we add 1 person to a role (bottleneck relief)</t>
        </is>
      </c>
    </row>
    <row r="21">
      <c r="A21" s="300" t="inlineStr">
        <is>
          <t>ID</t>
        </is>
      </c>
      <c r="B21" s="300" t="inlineStr">
        <is>
          <t>Project</t>
        </is>
      </c>
      <c r="C21" s="300" t="inlineStr">
        <is>
          <t>Est Hrs</t>
        </is>
      </c>
      <c r="D21" s="300" t="inlineStr">
        <is>
          <t>Current
Days</t>
        </is>
      </c>
      <c r="E21" s="300" t="inlineStr">
        <is>
          <t>+1 Project Manager
Days</t>
        </is>
      </c>
      <c r="F21" s="300" t="inlineStr">
        <is>
          <t>+1 DBA
Days</t>
        </is>
      </c>
      <c r="G21" s="300" t="inlineStr">
        <is>
          <t>+1 Business Analyst
Days</t>
        </is>
      </c>
      <c r="H21" s="300" t="inlineStr">
        <is>
          <t>+1 Functional Analyst
Days</t>
        </is>
      </c>
      <c r="I21" s="300" t="inlineStr">
        <is>
          <t>+1 Tech Analyst
Days</t>
        </is>
      </c>
      <c r="J21" s="300" t="inlineStr">
        <is>
          <t>+1 Developer
Days</t>
        </is>
      </c>
      <c r="K21" s="300" t="inlineStr">
        <is>
          <t>+1 Infrastructure
Days</t>
        </is>
      </c>
      <c r="L21" s="300" t="inlineStr">
        <is>
          <t>+1 WMS Consultant
Days</t>
        </is>
      </c>
    </row>
    <row r="22">
      <c r="A22" s="287" t="inlineStr">
        <is>
          <t>ETE-124</t>
        </is>
      </c>
      <c r="B22" s="274" t="inlineStr">
        <is>
          <t>Clean Up Return Loads</t>
        </is>
      </c>
      <c r="C22" s="282" t="n">
        <v>200</v>
      </c>
      <c r="D22" s="282" t="n">
        <v/>
      </c>
      <c r="E22" s="290" t="n">
        <v/>
      </c>
      <c r="F22" s="290" t="n">
        <v/>
      </c>
      <c r="G22" s="290" t="n">
        <v/>
      </c>
      <c r="H22" s="290" t="n">
        <v/>
      </c>
      <c r="I22" s="290" t="n">
        <v/>
      </c>
      <c r="J22" s="290" t="n">
        <v/>
      </c>
      <c r="K22" s="290" t="n">
        <v/>
      </c>
      <c r="L22" s="290" t="n">
        <v/>
      </c>
    </row>
    <row r="23">
      <c r="A23" s="287" t="inlineStr">
        <is>
          <t>ETE-37</t>
        </is>
      </c>
      <c r="B23" s="274" t="inlineStr">
        <is>
          <t>Magic Search in BuyETE</t>
        </is>
      </c>
      <c r="C23" s="282" t="n">
        <v>40</v>
      </c>
      <c r="D23" s="282" t="n">
        <v/>
      </c>
      <c r="E23" s="290" t="n">
        <v/>
      </c>
      <c r="F23" s="290" t="n">
        <v/>
      </c>
      <c r="G23" s="290" t="n">
        <v/>
      </c>
      <c r="H23" s="290" t="n">
        <v/>
      </c>
      <c r="I23" s="290" t="n">
        <v/>
      </c>
      <c r="J23" s="290" t="n">
        <v/>
      </c>
      <c r="K23" s="290" t="n">
        <v/>
      </c>
      <c r="L23" s="290" t="n">
        <v/>
      </c>
    </row>
    <row r="24">
      <c r="A24" s="287" t="inlineStr">
        <is>
          <t>ETE-97</t>
        </is>
      </c>
      <c r="B24" s="274" t="inlineStr">
        <is>
          <t>Standard Order Process Notifications</t>
        </is>
      </c>
      <c r="C24" s="282" t="n">
        <v>200</v>
      </c>
      <c r="D24" s="282" t="n">
        <v/>
      </c>
      <c r="E24" s="290" t="n">
        <v/>
      </c>
      <c r="F24" s="290" t="n">
        <v/>
      </c>
      <c r="G24" s="290" t="n">
        <v/>
      </c>
      <c r="H24" s="290" t="n">
        <v/>
      </c>
      <c r="I24" s="290" t="n">
        <v/>
      </c>
      <c r="J24" s="290" t="n">
        <v/>
      </c>
      <c r="K24" s="290" t="n">
        <v/>
      </c>
      <c r="L24" s="290" t="n">
        <v/>
      </c>
    </row>
    <row r="25">
      <c r="A25" s="287" t="inlineStr">
        <is>
          <t>ETE-68</t>
        </is>
      </c>
      <c r="B25" s="274" t="inlineStr">
        <is>
          <t>Catalog API Rust2Python</t>
        </is>
      </c>
      <c r="C25" s="282" t="n">
        <v>640</v>
      </c>
      <c r="D25" s="282" t="n">
        <v/>
      </c>
      <c r="E25" s="290" t="n">
        <v/>
      </c>
      <c r="F25" s="290" t="n">
        <v/>
      </c>
      <c r="G25" s="290" t="n">
        <v/>
      </c>
      <c r="H25" s="290" t="n">
        <v/>
      </c>
      <c r="I25" s="290" t="n">
        <v/>
      </c>
      <c r="J25" s="290" t="n">
        <v/>
      </c>
      <c r="K25" s="290" t="n">
        <v/>
      </c>
      <c r="L25" s="290" t="n">
        <v/>
      </c>
    </row>
    <row r="26">
      <c r="A26" s="287" t="inlineStr">
        <is>
          <t>ETE-19</t>
        </is>
      </c>
      <c r="B26" s="274" t="inlineStr">
        <is>
          <t>Changes to AR Aging Report</t>
        </is>
      </c>
      <c r="C26" s="282" t="n">
        <v>120</v>
      </c>
      <c r="D26" s="282" t="n">
        <v/>
      </c>
      <c r="E26" s="290" t="n">
        <v/>
      </c>
      <c r="F26" s="290" t="n">
        <v/>
      </c>
      <c r="G26" s="290" t="n">
        <v/>
      </c>
      <c r="H26" s="290" t="n">
        <v/>
      </c>
      <c r="I26" s="290" t="n">
        <v/>
      </c>
      <c r="J26" s="290" t="n">
        <v/>
      </c>
      <c r="K26" s="290" t="n">
        <v/>
      </c>
      <c r="L26" s="290" t="n">
        <v/>
      </c>
    </row>
    <row r="27">
      <c r="A27" s="287" t="inlineStr">
        <is>
          <t>ETE-83</t>
        </is>
      </c>
      <c r="B27" s="274" t="inlineStr">
        <is>
          <t>Customer Master Data Cleanup</t>
        </is>
      </c>
      <c r="C27" s="282" t="n">
        <v>1480</v>
      </c>
      <c r="D27" s="282" t="n">
        <v/>
      </c>
      <c r="E27" s="290" t="n">
        <v/>
      </c>
      <c r="F27" s="290" t="n">
        <v/>
      </c>
      <c r="G27" s="290" t="n">
        <v/>
      </c>
      <c r="H27" s="290" t="n">
        <v/>
      </c>
      <c r="I27" s="290" t="n">
        <v/>
      </c>
      <c r="J27" s="290" t="n">
        <v/>
      </c>
      <c r="K27" s="290" t="n">
        <v/>
      </c>
      <c r="L27" s="290" t="n">
        <v/>
      </c>
    </row>
    <row r="28">
      <c r="A28" s="287" t="inlineStr">
        <is>
          <t>ETE-48</t>
        </is>
      </c>
      <c r="B28" s="274" t="inlineStr">
        <is>
          <t>System Connection Syteline-VKS</t>
        </is>
      </c>
      <c r="C28" s="282" t="n">
        <v>240</v>
      </c>
      <c r="D28" s="282" t="n">
        <v/>
      </c>
      <c r="E28" s="290" t="n">
        <v/>
      </c>
      <c r="F28" s="290" t="n">
        <v/>
      </c>
      <c r="G28" s="290" t="n">
        <v/>
      </c>
      <c r="H28" s="290" t="n">
        <v/>
      </c>
      <c r="I28" s="290" t="n">
        <v/>
      </c>
      <c r="J28" s="290" t="n">
        <v/>
      </c>
      <c r="K28" s="290" t="n">
        <v/>
      </c>
      <c r="L28" s="290" t="n">
        <v/>
      </c>
    </row>
    <row r="29">
      <c r="A29" s="287" t="inlineStr">
        <is>
          <t>ETE-100</t>
        </is>
      </c>
      <c r="B29" s="274" t="inlineStr">
        <is>
          <t>ATSG Expired Members Self-Payment</t>
        </is>
      </c>
      <c r="C29" s="282" t="n">
        <v>200</v>
      </c>
      <c r="D29" s="282" t="n">
        <v/>
      </c>
      <c r="E29" s="290" t="n">
        <v/>
      </c>
      <c r="F29" s="290" t="n">
        <v/>
      </c>
      <c r="G29" s="290" t="n">
        <v/>
      </c>
      <c r="H29" s="290" t="n">
        <v/>
      </c>
      <c r="I29" s="290" t="n">
        <v/>
      </c>
      <c r="J29" s="290" t="n">
        <v/>
      </c>
      <c r="K29" s="290" t="n">
        <v/>
      </c>
      <c r="L29" s="290" t="n">
        <v/>
      </c>
    </row>
    <row r="30">
      <c r="A30" s="287" t="inlineStr">
        <is>
          <t>ETE-49</t>
        </is>
      </c>
      <c r="B30" s="274" t="inlineStr">
        <is>
          <t>Marketing: STE Rewards Tier</t>
        </is>
      </c>
      <c r="C30" s="282" t="n">
        <v>240</v>
      </c>
      <c r="D30" s="282" t="n">
        <v/>
      </c>
      <c r="E30" s="290" t="n">
        <v/>
      </c>
      <c r="F30" s="290" t="n">
        <v/>
      </c>
      <c r="G30" s="290" t="n">
        <v/>
      </c>
      <c r="H30" s="290" t="n">
        <v/>
      </c>
      <c r="I30" s="290" t="n">
        <v/>
      </c>
      <c r="J30" s="290" t="n">
        <v/>
      </c>
      <c r="K30" s="290" t="n">
        <v/>
      </c>
      <c r="L30" s="290" t="n">
        <v/>
      </c>
    </row>
    <row r="31">
      <c r="A31" s="287" t="inlineStr">
        <is>
          <t>ETE-7</t>
        </is>
      </c>
      <c r="B31" s="274" t="inlineStr">
        <is>
          <t>Outsourced Unit Core Accounting</t>
        </is>
      </c>
      <c r="C31" s="282" t="n">
        <v>640</v>
      </c>
      <c r="D31" s="282" t="n">
        <v/>
      </c>
      <c r="E31" s="290" t="n">
        <v/>
      </c>
      <c r="F31" s="290" t="n">
        <v/>
      </c>
      <c r="G31" s="290" t="n">
        <v/>
      </c>
      <c r="H31" s="290" t="n">
        <v/>
      </c>
      <c r="I31" s="290" t="n">
        <v/>
      </c>
      <c r="J31" s="290" t="n">
        <v/>
      </c>
      <c r="K31" s="290" t="n">
        <v/>
      </c>
      <c r="L31" s="290" t="n">
        <v/>
      </c>
    </row>
    <row r="32">
      <c r="A32" s="287" t="inlineStr">
        <is>
          <t>ETE-16</t>
        </is>
      </c>
      <c r="B32" s="274" t="inlineStr">
        <is>
          <t>Partial Pay w/ CC from WMERP</t>
        </is>
      </c>
      <c r="C32" s="282" t="n">
        <v>120</v>
      </c>
      <c r="D32" s="282" t="n">
        <v/>
      </c>
      <c r="E32" s="290" t="n">
        <v/>
      </c>
      <c r="F32" s="290" t="n">
        <v/>
      </c>
      <c r="G32" s="290" t="n">
        <v/>
      </c>
      <c r="H32" s="290" t="n">
        <v/>
      </c>
      <c r="I32" s="290" t="n">
        <v/>
      </c>
      <c r="J32" s="290" t="n">
        <v/>
      </c>
      <c r="K32" s="290" t="n">
        <v/>
      </c>
      <c r="L32" s="290" t="n">
        <v/>
      </c>
    </row>
    <row r="33">
      <c r="A33" s="287" t="inlineStr">
        <is>
          <t>ETE-52</t>
        </is>
      </c>
      <c r="B33" s="274" t="inlineStr">
        <is>
          <t>SWIMS/Syteline Reporting</t>
        </is>
      </c>
      <c r="C33" s="282" t="n">
        <v>40</v>
      </c>
      <c r="D33" s="282" t="n">
        <v/>
      </c>
      <c r="E33" s="290" t="n">
        <v/>
      </c>
      <c r="F33" s="290" t="n">
        <v/>
      </c>
      <c r="G33" s="290" t="n">
        <v/>
      </c>
      <c r="H33" s="290" t="n">
        <v/>
      </c>
      <c r="I33" s="290" t="n">
        <v/>
      </c>
      <c r="J33" s="290" t="n">
        <v/>
      </c>
      <c r="K33" s="290" t="n">
        <v/>
      </c>
      <c r="L33" s="290" t="n">
        <v/>
      </c>
    </row>
    <row r="36">
      <c r="A36" s="273" t="inlineStr">
        <is>
          <t>Weekly Role Utilization Heatmap</t>
        </is>
      </c>
    </row>
    <row r="37">
      <c r="A37" s="271" t="inlineStr">
        <is>
          <t>Role-level utilization by week — shows when role groups get hot</t>
        </is>
      </c>
    </row>
    <row r="38">
      <c r="A38" s="309" t="inlineStr">
        <is>
          <t>Overloaded (&gt;100%)</t>
        </is>
      </c>
      <c r="B38" s="310" t="inlineStr">
        <is>
          <t>At Capacity (80-100%)</t>
        </is>
      </c>
      <c r="C38" s="311" t="inlineStr">
        <is>
          <t>Healthy (&lt;80%)</t>
        </is>
      </c>
    </row>
    <row r="40">
      <c r="A40" s="300" t="inlineStr">
        <is>
          <t>Role</t>
        </is>
      </c>
      <c r="B40" s="300" t="inlineStr">
        <is>
          <t>Headcount</t>
        </is>
      </c>
      <c r="C40" s="300" t="inlineStr">
        <is>
          <t>Supply
(hrs/wk)</t>
        </is>
      </c>
      <c r="D40" s="312" t="inlineStr">
        <is>
          <t>04/06</t>
        </is>
      </c>
      <c r="E40" s="312" t="inlineStr">
        <is>
          <t>04/13</t>
        </is>
      </c>
      <c r="F40" s="312" t="inlineStr">
        <is>
          <t>04/20</t>
        </is>
      </c>
      <c r="G40" s="312" t="inlineStr">
        <is>
          <t>04/27</t>
        </is>
      </c>
      <c r="H40" s="312" t="inlineStr">
        <is>
          <t>05/04</t>
        </is>
      </c>
      <c r="I40" s="312" t="inlineStr">
        <is>
          <t>05/11</t>
        </is>
      </c>
      <c r="J40" s="312" t="inlineStr">
        <is>
          <t>05/18</t>
        </is>
      </c>
      <c r="K40" s="312" t="inlineStr">
        <is>
          <t>05/25</t>
        </is>
      </c>
      <c r="L40" s="312" t="inlineStr">
        <is>
          <t>06/01</t>
        </is>
      </c>
      <c r="M40" s="312" t="inlineStr">
        <is>
          <t>06/08</t>
        </is>
      </c>
      <c r="N40" s="312" t="inlineStr">
        <is>
          <t>06/15</t>
        </is>
      </c>
      <c r="O40" s="312" t="inlineStr">
        <is>
          <t>06/22</t>
        </is>
      </c>
      <c r="P40" s="312" t="inlineStr">
        <is>
          <t>06/29</t>
        </is>
      </c>
      <c r="Q40" s="312" t="inlineStr">
        <is>
          <t>07/06</t>
        </is>
      </c>
      <c r="R40" s="312" t="inlineStr">
        <is>
          <t>07/13</t>
        </is>
      </c>
      <c r="S40" s="312" t="inlineStr">
        <is>
          <t>07/20</t>
        </is>
      </c>
      <c r="T40" s="312" t="inlineStr">
        <is>
          <t>07/27</t>
        </is>
      </c>
      <c r="U40" s="312" t="inlineStr">
        <is>
          <t>08/03</t>
        </is>
      </c>
      <c r="V40" s="312" t="inlineStr">
        <is>
          <t>08/10</t>
        </is>
      </c>
      <c r="W40" s="312" t="inlineStr">
        <is>
          <t>08/17</t>
        </is>
      </c>
      <c r="X40" s="312" t="inlineStr">
        <is>
          <t>08/24</t>
        </is>
      </c>
      <c r="Y40" s="312" t="inlineStr">
        <is>
          <t>08/31</t>
        </is>
      </c>
      <c r="Z40" s="312" t="inlineStr">
        <is>
          <t>09/07</t>
        </is>
      </c>
      <c r="AA40" s="312" t="inlineStr">
        <is>
          <t>09/14</t>
        </is>
      </c>
      <c r="AB40" s="312" t="inlineStr">
        <is>
          <t>09/21</t>
        </is>
      </c>
      <c r="AC40" s="312" t="inlineStr">
        <is>
          <t>09/28</t>
        </is>
      </c>
    </row>
    <row r="41">
      <c r="A41" s="287" t="inlineStr">
        <is>
          <t>Project Manager</t>
        </is>
      </c>
      <c r="B41" s="275" t="n">
        <v>3</v>
      </c>
      <c r="C41" s="275" t="n">
        <v>0</v>
      </c>
      <c r="D41" s="313" t="n">
        <v>0</v>
      </c>
      <c r="E41" s="313" t="n">
        <v>0</v>
      </c>
      <c r="F41" s="313" t="n">
        <v>0</v>
      </c>
      <c r="G41" s="313" t="n">
        <v>0</v>
      </c>
      <c r="H41" s="313" t="n">
        <v>0</v>
      </c>
      <c r="I41" s="313" t="n">
        <v>0</v>
      </c>
      <c r="J41" s="313" t="n">
        <v>0</v>
      </c>
      <c r="K41" s="313" t="n">
        <v>0</v>
      </c>
      <c r="L41" s="313" t="n">
        <v>0</v>
      </c>
      <c r="M41" s="313" t="n">
        <v>0</v>
      </c>
      <c r="N41" s="313" t="n">
        <v>0</v>
      </c>
      <c r="O41" s="313" t="n">
        <v>0</v>
      </c>
      <c r="P41" s="313" t="n">
        <v>0</v>
      </c>
      <c r="Q41" s="313" t="n">
        <v>0</v>
      </c>
      <c r="R41" s="313" t="n">
        <v>0</v>
      </c>
      <c r="S41" s="313" t="n">
        <v>0</v>
      </c>
      <c r="T41" s="313" t="n">
        <v>0</v>
      </c>
      <c r="U41" s="313" t="n">
        <v>0</v>
      </c>
      <c r="V41" s="313" t="n">
        <v>0</v>
      </c>
      <c r="W41" s="313" t="n">
        <v>0</v>
      </c>
      <c r="X41" s="313" t="n">
        <v>0</v>
      </c>
      <c r="Y41" s="313" t="n">
        <v>0</v>
      </c>
      <c r="Z41" s="313" t="n">
        <v>0</v>
      </c>
      <c r="AA41" s="313" t="n">
        <v>0</v>
      </c>
      <c r="AB41" s="313" t="n">
        <v>0</v>
      </c>
      <c r="AC41" s="313" t="n">
        <v>0</v>
      </c>
    </row>
    <row r="42">
      <c r="A42" s="287" t="inlineStr">
        <is>
          <t>IT Business Analyst/SME</t>
        </is>
      </c>
      <c r="B42" s="275" t="n">
        <v>4</v>
      </c>
      <c r="C42" s="275" t="n">
        <v>0</v>
      </c>
      <c r="D42" s="313" t="n">
        <v>0</v>
      </c>
      <c r="E42" s="313" t="n">
        <v>0</v>
      </c>
      <c r="F42" s="313" t="n">
        <v>0</v>
      </c>
      <c r="G42" s="313" t="n">
        <v>0</v>
      </c>
      <c r="H42" s="313" t="n">
        <v>0</v>
      </c>
      <c r="I42" s="313" t="n">
        <v>0</v>
      </c>
      <c r="J42" s="313" t="n">
        <v>0</v>
      </c>
      <c r="K42" s="313" t="n">
        <v>0</v>
      </c>
      <c r="L42" s="313" t="n">
        <v>0</v>
      </c>
      <c r="M42" s="313" t="n">
        <v>0</v>
      </c>
      <c r="N42" s="313" t="n">
        <v>0</v>
      </c>
      <c r="O42" s="313" t="n">
        <v>0</v>
      </c>
      <c r="P42" s="313" t="n">
        <v>0</v>
      </c>
      <c r="Q42" s="313" t="n">
        <v>0</v>
      </c>
      <c r="R42" s="313" t="n">
        <v>0</v>
      </c>
      <c r="S42" s="313" t="n">
        <v>0</v>
      </c>
      <c r="T42" s="313" t="n">
        <v>0</v>
      </c>
      <c r="U42" s="313" t="n">
        <v>0</v>
      </c>
      <c r="V42" s="313" t="n">
        <v>0</v>
      </c>
      <c r="W42" s="313" t="n">
        <v>0</v>
      </c>
      <c r="X42" s="313" t="n">
        <v>0</v>
      </c>
      <c r="Y42" s="313" t="n">
        <v>0</v>
      </c>
      <c r="Z42" s="313" t="n">
        <v>0</v>
      </c>
      <c r="AA42" s="313" t="n">
        <v>0</v>
      </c>
      <c r="AB42" s="313" t="n">
        <v>0</v>
      </c>
      <c r="AC42" s="313" t="n">
        <v>0</v>
      </c>
    </row>
    <row r="43">
      <c r="A43" s="287" t="inlineStr">
        <is>
          <t>IT Functional Analyst</t>
        </is>
      </c>
      <c r="B43" s="275" t="n">
        <v>2</v>
      </c>
      <c r="C43" s="275" t="n">
        <v>0</v>
      </c>
      <c r="D43" s="313" t="n">
        <v>0</v>
      </c>
      <c r="E43" s="313" t="n">
        <v>0</v>
      </c>
      <c r="F43" s="313" t="n">
        <v>0</v>
      </c>
      <c r="G43" s="313" t="n">
        <v>0</v>
      </c>
      <c r="H43" s="313" t="n">
        <v>0</v>
      </c>
      <c r="I43" s="313" t="n">
        <v>0</v>
      </c>
      <c r="J43" s="313" t="n">
        <v>0</v>
      </c>
      <c r="K43" s="313" t="n">
        <v>0</v>
      </c>
      <c r="L43" s="313" t="n">
        <v>0</v>
      </c>
      <c r="M43" s="313" t="n">
        <v>0</v>
      </c>
      <c r="N43" s="313" t="n">
        <v>0</v>
      </c>
      <c r="O43" s="313" t="n">
        <v>0</v>
      </c>
      <c r="P43" s="313" t="n">
        <v>0</v>
      </c>
      <c r="Q43" s="313" t="n">
        <v>0</v>
      </c>
      <c r="R43" s="313" t="n">
        <v>0</v>
      </c>
      <c r="S43" s="313" t="n">
        <v>0</v>
      </c>
      <c r="T43" s="313" t="n">
        <v>0</v>
      </c>
      <c r="U43" s="313" t="n">
        <v>0</v>
      </c>
      <c r="V43" s="313" t="n">
        <v>0</v>
      </c>
      <c r="W43" s="313" t="n">
        <v>0</v>
      </c>
      <c r="X43" s="313" t="n">
        <v>0</v>
      </c>
      <c r="Y43" s="313" t="n">
        <v>0</v>
      </c>
      <c r="Z43" s="313" t="n">
        <v>0</v>
      </c>
      <c r="AA43" s="313" t="n">
        <v>0</v>
      </c>
      <c r="AB43" s="313" t="n">
        <v>0</v>
      </c>
      <c r="AC43" s="313" t="n">
        <v>0</v>
      </c>
    </row>
    <row r="44">
      <c r="A44" s="287" t="inlineStr">
        <is>
          <t>IT Tech Analyst/Developer</t>
        </is>
      </c>
      <c r="B44" s="275" t="n">
        <v>5</v>
      </c>
      <c r="C44" s="275" t="n">
        <v>0</v>
      </c>
      <c r="D44" s="313" t="n">
        <v>0</v>
      </c>
      <c r="E44" s="313" t="n">
        <v>0</v>
      </c>
      <c r="F44" s="313" t="n">
        <v>0</v>
      </c>
      <c r="G44" s="313" t="n">
        <v>0</v>
      </c>
      <c r="H44" s="313" t="n">
        <v>0</v>
      </c>
      <c r="I44" s="313" t="n">
        <v>0</v>
      </c>
      <c r="J44" s="313" t="n">
        <v>0</v>
      </c>
      <c r="K44" s="313" t="n">
        <v>0</v>
      </c>
      <c r="L44" s="313" t="n">
        <v>0</v>
      </c>
      <c r="M44" s="313" t="n">
        <v>0</v>
      </c>
      <c r="N44" s="313" t="n">
        <v>0</v>
      </c>
      <c r="O44" s="313" t="n">
        <v>0</v>
      </c>
      <c r="P44" s="313" t="n">
        <v>0</v>
      </c>
      <c r="Q44" s="313" t="n">
        <v>0</v>
      </c>
      <c r="R44" s="313" t="n">
        <v>0</v>
      </c>
      <c r="S44" s="313" t="n">
        <v>0</v>
      </c>
      <c r="T44" s="313" t="n">
        <v>0</v>
      </c>
      <c r="U44" s="313" t="n">
        <v>0</v>
      </c>
      <c r="V44" s="313" t="n">
        <v>0</v>
      </c>
      <c r="W44" s="313" t="n">
        <v>0</v>
      </c>
      <c r="X44" s="313" t="n">
        <v>0</v>
      </c>
      <c r="Y44" s="313" t="n">
        <v>0</v>
      </c>
      <c r="Z44" s="313" t="n">
        <v>0</v>
      </c>
      <c r="AA44" s="313" t="n">
        <v>0</v>
      </c>
      <c r="AB44" s="313" t="n">
        <v>0</v>
      </c>
      <c r="AC44" s="313" t="n">
        <v>0</v>
      </c>
    </row>
    <row r="45">
      <c r="A45" s="287" t="inlineStr">
        <is>
          <t>Developer</t>
        </is>
      </c>
      <c r="B45" s="275" t="n">
        <v>4</v>
      </c>
      <c r="C45" s="275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3" t="n">
        <v>0</v>
      </c>
      <c r="I45" s="313" t="n">
        <v>0</v>
      </c>
      <c r="J45" s="313" t="n">
        <v>0</v>
      </c>
      <c r="K45" s="313" t="n">
        <v>0</v>
      </c>
      <c r="L45" s="313" t="n">
        <v>0</v>
      </c>
      <c r="M45" s="313" t="n">
        <v>0</v>
      </c>
      <c r="N45" s="313" t="n">
        <v>0</v>
      </c>
      <c r="O45" s="313" t="n">
        <v>0</v>
      </c>
      <c r="P45" s="313" t="n">
        <v>0</v>
      </c>
      <c r="Q45" s="313" t="n">
        <v>0</v>
      </c>
      <c r="R45" s="313" t="n">
        <v>0</v>
      </c>
      <c r="S45" s="313" t="n">
        <v>0</v>
      </c>
      <c r="T45" s="313" t="n">
        <v>0</v>
      </c>
      <c r="U45" s="313" t="n">
        <v>0</v>
      </c>
      <c r="V45" s="313" t="n">
        <v>0</v>
      </c>
      <c r="W45" s="313" t="n">
        <v>0</v>
      </c>
      <c r="X45" s="313" t="n">
        <v>0</v>
      </c>
      <c r="Y45" s="313" t="n">
        <v>0</v>
      </c>
      <c r="Z45" s="313" t="n">
        <v>0</v>
      </c>
      <c r="AA45" s="313" t="n">
        <v>0</v>
      </c>
      <c r="AB45" s="313" t="n">
        <v>0</v>
      </c>
      <c r="AC45" s="313" t="n">
        <v>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D42"/>
  <sheetViews>
    <sheetView zoomScaleNormal="100" workbookViewId="0">
      <pane xSplit="2" ySplit="3" topLeftCell="P18" activePane="bottomRight" state="frozen"/>
      <selection pane="bottomRight" activeCell="A5" sqref="A5"/>
      <selection pane="bottomLeft" activeCell="A4" sqref="A4"/>
      <selection pane="topRight" activeCell="C1" sqref="C1"/>
    </sheetView>
  </sheetViews>
  <sheetFormatPr baseColWidth="8" defaultColWidth="8.7109375" defaultRowHeight="15"/>
  <cols>
    <col width="12" customWidth="1" min="1" max="1"/>
    <col width="49.5703125" customWidth="1" min="2" max="2"/>
    <col width="14" customWidth="1" min="3" max="3"/>
    <col width="24.7109375" customWidth="1" min="4" max="4"/>
    <col width="18" customWidth="1" min="5" max="5"/>
    <col width="30.5703125" customWidth="1" min="6" max="6"/>
    <col width="19.7109375" customWidth="1" min="7" max="7"/>
    <col width="12.7109375" customWidth="1" min="8" max="8"/>
    <col width="17.7109375" customWidth="1" min="9" max="9"/>
    <col width="20.28515625" customWidth="1" min="10" max="10"/>
    <col width="24.140625" customWidth="1" min="11" max="11"/>
    <col width="20" customWidth="1" min="12" max="12"/>
    <col width="11.7109375" bestFit="1" customWidth="1" min="13" max="13"/>
    <col width="14.85546875" bestFit="1" customWidth="1" min="14" max="14"/>
    <col width="15.5703125" bestFit="1" customWidth="1" min="15" max="15"/>
    <col width="24" customWidth="1" min="16" max="16"/>
    <col width="18" customWidth="1" min="17" max="17"/>
    <col width="19" customWidth="1" min="18" max="27"/>
    <col width="40" customWidth="1" min="28" max="28"/>
    <col hidden="1" outlineLevel="1" width="13" customWidth="1" min="29" max="29"/>
    <col collapsed="1" width="8.7109375" customWidth="1" min="30" max="30"/>
  </cols>
  <sheetData>
    <row r="1" ht="18" customHeight="1">
      <c r="A1" s="269" t="inlineStr">
        <is>
          <t>ETE IT PMO — Project Portfolio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87" t="inlineStr">
        <is>
          <t>ID</t>
        </is>
      </c>
      <c r="B3" s="87" t="inlineStr">
        <is>
          <t>Project Name</t>
        </is>
      </c>
      <c r="C3" s="87" t="inlineStr">
        <is>
          <t>Type</t>
        </is>
      </c>
      <c r="D3" s="87" t="inlineStr">
        <is>
          <t>Business Portfolio</t>
        </is>
      </c>
      <c r="E3" s="87" t="inlineStr">
        <is>
          <t>Sponsor/Leader</t>
        </is>
      </c>
      <c r="F3" s="87" t="inlineStr">
        <is>
          <t>Project Health</t>
        </is>
      </c>
      <c r="G3" s="87" t="inlineStr">
        <is>
          <t>% Complete</t>
        </is>
      </c>
      <c r="H3" s="87" t="inlineStr">
        <is>
          <t>Priority</t>
        </is>
      </c>
      <c r="I3" s="87" t="inlineStr">
        <is>
          <t>Start Date</t>
        </is>
      </c>
      <c r="J3" s="87" t="inlineStr">
        <is>
          <t>Est. End Date</t>
        </is>
      </c>
      <c r="K3" s="87" t="inlineStr">
        <is>
          <t>Actual/Updated End</t>
        </is>
      </c>
      <c r="L3" s="87" t="inlineStr">
        <is>
          <t>Team</t>
        </is>
      </c>
      <c r="M3" s="88" t="inlineStr">
        <is>
          <t>PM</t>
        </is>
      </c>
      <c r="N3" s="88" t="inlineStr">
        <is>
          <t>BA</t>
        </is>
      </c>
      <c r="O3" s="88" t="inlineStr">
        <is>
          <t>Functional</t>
        </is>
      </c>
      <c r="P3" s="88" t="inlineStr">
        <is>
          <t>Technical</t>
        </is>
      </c>
      <c r="Q3" s="88" t="inlineStr">
        <is>
          <t>Developer</t>
        </is>
      </c>
      <c r="R3" s="87" t="inlineStr">
        <is>
          <t>T-Shirt Size</t>
        </is>
      </c>
      <c r="S3" s="87" t="inlineStr">
        <is>
          <t>Est. Hours</t>
        </is>
      </c>
      <c r="T3" s="88" t="inlineStr">
        <is>
          <t>Est. Cost Range</t>
        </is>
      </c>
      <c r="U3" s="88" t="inlineStr">
        <is>
          <t>BA %</t>
        </is>
      </c>
      <c r="V3" s="88" t="inlineStr">
        <is>
          <t>Functional %</t>
        </is>
      </c>
      <c r="W3" s="88" t="inlineStr">
        <is>
          <t>Technical %</t>
        </is>
      </c>
      <c r="X3" s="88" t="inlineStr">
        <is>
          <t>Developer %</t>
        </is>
      </c>
      <c r="Y3" s="88" t="inlineStr">
        <is>
          <t>Infrastructure %</t>
        </is>
      </c>
      <c r="Z3" s="88" t="inlineStr">
        <is>
          <t>DBA %</t>
        </is>
      </c>
      <c r="AA3" s="88" t="inlineStr">
        <is>
          <t>PM %</t>
        </is>
      </c>
      <c r="AB3" s="88" t="inlineStr">
        <is>
          <t>WMS %</t>
        </is>
      </c>
      <c r="AC3" s="88" t="inlineStr">
        <is>
          <t>Notes</t>
        </is>
      </c>
      <c r="AD3" s="117" t="inlineStr">
        <is>
          <t>Sort Order</t>
        </is>
      </c>
    </row>
    <row r="4">
      <c r="A4" s="89" t="inlineStr">
        <is>
          <t>ETE-83</t>
        </is>
      </c>
      <c r="B4" s="89" t="inlineStr">
        <is>
          <t>Customer Master Data Cleanup</t>
        </is>
      </c>
      <c r="C4" s="90" t="inlineStr">
        <is>
          <t>Key Initiative</t>
        </is>
      </c>
      <c r="D4" s="89" t="inlineStr">
        <is>
          <t>Sales &amp; Distribution</t>
        </is>
      </c>
      <c r="E4" s="89" t="inlineStr">
        <is>
          <t>Tom Vierling</t>
        </is>
      </c>
      <c r="F4" s="89" t="inlineStr">
        <is>
          <t>📋 NEEDS TECHNICAL SPEC</t>
        </is>
      </c>
      <c r="G4" s="91" t="n">
        <v>0.15</v>
      </c>
      <c r="H4" s="89" t="inlineStr">
        <is>
          <t>High</t>
        </is>
      </c>
      <c r="I4" s="314" t="n">
        <v>45944</v>
      </c>
      <c r="J4" s="314" t="n">
        <v>46174</v>
      </c>
      <c r="K4" s="314" t="n"/>
      <c r="L4" s="89" t="inlineStr">
        <is>
          <t>Systems Applications</t>
        </is>
      </c>
      <c r="M4" s="93" t="inlineStr">
        <is>
          <t>Emily Fridley</t>
        </is>
      </c>
      <c r="N4" s="93" t="inlineStr">
        <is>
          <t>Audrey Debaere</t>
        </is>
      </c>
      <c r="O4" s="93" t="n"/>
      <c r="P4" s="93" t="n"/>
      <c r="Q4" t="inlineStr">
        <is>
          <t>Alex Young</t>
        </is>
      </c>
      <c r="R4" s="89" t="inlineStr">
        <is>
          <t>XXL: &gt; 640 Hours</t>
        </is>
      </c>
      <c r="S4" s="89" t="n">
        <v>1480</v>
      </c>
      <c r="T4" s="94">
        <f>$R4*65</f>
        <v/>
      </c>
      <c r="U4" s="95" t="n">
        <v>0.1</v>
      </c>
      <c r="V4" s="95" t="n"/>
      <c r="W4" s="95" t="n"/>
      <c r="X4" s="95" t="n"/>
      <c r="Y4" s="95" t="n"/>
      <c r="Z4" s="95" t="n"/>
      <c r="AA4" s="96" t="n"/>
      <c r="AB4" s="96" t="n"/>
      <c r="AC4" s="97" t="inlineStr">
        <is>
          <t>Completed Q1</t>
        </is>
      </c>
      <c r="AD4" s="98">
        <f>IF(OR(ISNUMBER(SEARCH("POSTPONED",$F4)),ISNUMBER(SEARCH("NOT APPROVED",$F4))),2,IF(ISNUMBER(SEARCH("COMPLETE",$F4)),3,1))</f>
        <v/>
      </c>
    </row>
    <row r="5">
      <c r="A5" s="99" t="inlineStr">
        <is>
          <t>ETE-48</t>
        </is>
      </c>
      <c r="B5" s="99" t="inlineStr">
        <is>
          <t>System Connection Syteline-VKS</t>
        </is>
      </c>
      <c r="C5" s="100" t="inlineStr">
        <is>
          <t>Key Initiative</t>
        </is>
      </c>
      <c r="D5" s="99" t="inlineStr">
        <is>
          <t>Engineering</t>
        </is>
      </c>
      <c r="E5" s="99" t="inlineStr">
        <is>
          <t>Ray Trumble</t>
        </is>
      </c>
      <c r="F5" s="99" t="inlineStr">
        <is>
          <t>🟢 ON TRACK</t>
        </is>
      </c>
      <c r="G5" s="101" t="n">
        <v>0.1</v>
      </c>
      <c r="H5" s="99" t="inlineStr">
        <is>
          <t>High</t>
        </is>
      </c>
      <c r="I5" s="315" t="n">
        <v>46068</v>
      </c>
      <c r="J5" s="315" t="n">
        <v>46203</v>
      </c>
      <c r="K5" s="315" t="n"/>
      <c r="L5" s="99" t="inlineStr">
        <is>
          <t>Synnergie</t>
        </is>
      </c>
      <c r="M5" s="103" t="inlineStr">
        <is>
          <t>Emily Fridley</t>
        </is>
      </c>
      <c r="N5" s="103" t="inlineStr">
        <is>
          <t>Audrey Debaere</t>
        </is>
      </c>
      <c r="O5" s="103" t="n"/>
      <c r="P5" s="103" t="n"/>
      <c r="Q5" t="inlineStr">
        <is>
          <t>Alex Young</t>
        </is>
      </c>
      <c r="R5" s="99" t="inlineStr">
        <is>
          <t>L: 160-320 Hours</t>
        </is>
      </c>
      <c r="S5" s="99" t="n">
        <v>240</v>
      </c>
      <c r="T5" s="104">
        <f>$R5*65</f>
        <v/>
      </c>
      <c r="U5" s="105" t="n">
        <v>0.1</v>
      </c>
      <c r="V5" s="105" t="n"/>
      <c r="W5" s="105" t="n"/>
      <c r="X5" s="105" t="n"/>
      <c r="Y5" s="105" t="n"/>
      <c r="Z5" s="105" t="n"/>
      <c r="AA5" s="105" t="n">
        <v>0.25</v>
      </c>
      <c r="AB5" s="105" t="n"/>
      <c r="AC5" s="103" t="n"/>
      <c r="AD5" s="106">
        <f>IF(OR(ISNUMBER(SEARCH("POSTPONED",$F5)),ISNUMBER(SEARCH("NOT APPROVED",$F5))),2,IF(ISNUMBER(SEARCH("COMPLETE",$F5)),3,1))</f>
        <v/>
      </c>
    </row>
    <row r="6">
      <c r="A6" s="89" t="inlineStr">
        <is>
          <t>ETE-68</t>
        </is>
      </c>
      <c r="B6" s="89" t="inlineStr">
        <is>
          <t>Catalog API Rust2Python</t>
        </is>
      </c>
      <c r="C6" s="90" t="inlineStr">
        <is>
          <t>Key Initiative</t>
        </is>
      </c>
      <c r="D6" s="89" t="inlineStr">
        <is>
          <t>Information Technology</t>
        </is>
      </c>
      <c r="E6" s="89" t="inlineStr">
        <is>
          <t>Jim Koscielniak</t>
        </is>
      </c>
      <c r="F6" s="89" t="inlineStr">
        <is>
          <t>🟢 ON TRACK</t>
        </is>
      </c>
      <c r="G6" s="91" t="n">
        <v>0.13</v>
      </c>
      <c r="H6" s="89" t="inlineStr">
        <is>
          <t>High</t>
        </is>
      </c>
      <c r="I6" s="314" t="n">
        <v>45978</v>
      </c>
      <c r="J6" s="314" t="n">
        <v>46136</v>
      </c>
      <c r="K6" s="314" t="n"/>
      <c r="L6" s="89" t="inlineStr">
        <is>
          <t>Systems Applications</t>
        </is>
      </c>
      <c r="M6" s="93" t="inlineStr">
        <is>
          <t>Emily Fridley</t>
        </is>
      </c>
      <c r="N6" s="93" t="inlineStr">
        <is>
          <t>Audrey Debaere</t>
        </is>
      </c>
      <c r="O6" s="93" t="n"/>
      <c r="P6" s="93" t="inlineStr">
        <is>
          <t>Colin Olson</t>
        </is>
      </c>
      <c r="Q6" t="inlineStr">
        <is>
          <t>Alex Young</t>
        </is>
      </c>
      <c r="R6" s="89" t="inlineStr">
        <is>
          <t>XXL: &gt; 640 Hours</t>
        </is>
      </c>
      <c r="S6" s="89" t="n">
        <v>640</v>
      </c>
      <c r="T6" s="107">
        <f>$R6*65</f>
        <v/>
      </c>
      <c r="U6" s="96" t="n">
        <v>0.1</v>
      </c>
      <c r="V6" s="96" t="n"/>
      <c r="W6" s="96" t="n"/>
      <c r="X6" s="96" t="n">
        <v>0.75</v>
      </c>
      <c r="Y6" s="96" t="n"/>
      <c r="Z6" s="96" t="n"/>
      <c r="AA6" s="96" t="n"/>
      <c r="AB6" s="96" t="n"/>
      <c r="AC6" s="93" t="n"/>
      <c r="AD6" s="108">
        <f>IF(OR(ISNUMBER(SEARCH("POSTPONED",$F6)),ISNUMBER(SEARCH("NOT APPROVED",$F6))),2,IF(ISNUMBER(SEARCH("COMPLETE",$F6)),3,1))</f>
        <v/>
      </c>
    </row>
    <row r="7">
      <c r="A7" s="89" t="inlineStr">
        <is>
          <t>ETE-43</t>
        </is>
      </c>
      <c r="B7" s="89" t="inlineStr">
        <is>
          <t>Data Security - Microsoft Purview</t>
        </is>
      </c>
      <c r="C7" s="90" t="inlineStr">
        <is>
          <t>Key Initiative</t>
        </is>
      </c>
      <c r="D7" s="89" t="inlineStr">
        <is>
          <t>Information Technology</t>
        </is>
      </c>
      <c r="E7" s="89" t="inlineStr">
        <is>
          <t>Jim Koscielniak</t>
        </is>
      </c>
      <c r="F7" s="89" t="inlineStr">
        <is>
          <t>🟢 ON TRACK</t>
        </is>
      </c>
      <c r="G7" s="91" t="n">
        <v>0</v>
      </c>
      <c r="H7" s="89" t="inlineStr">
        <is>
          <t>High</t>
        </is>
      </c>
      <c r="I7" s="314" t="n">
        <v>46055</v>
      </c>
      <c r="J7" s="314" t="n">
        <v>46203</v>
      </c>
      <c r="K7" s="314" t="n"/>
      <c r="L7" s="89" t="inlineStr">
        <is>
          <t>Infrastructure</t>
        </is>
      </c>
      <c r="M7" s="93" t="inlineStr">
        <is>
          <t>Emily Fridley</t>
        </is>
      </c>
      <c r="N7" s="93" t="inlineStr">
        <is>
          <t>Audrey Debaere</t>
        </is>
      </c>
      <c r="O7" s="93" t="n"/>
      <c r="P7" s="93" t="n"/>
      <c r="Q7" t="inlineStr">
        <is>
          <t>Alex Young</t>
        </is>
      </c>
      <c r="R7" s="89" t="n"/>
      <c r="S7" s="89" t="n">
        <v>0</v>
      </c>
      <c r="T7" s="107">
        <f>$R7*65</f>
        <v/>
      </c>
      <c r="U7" s="96" t="n">
        <v>0.1</v>
      </c>
      <c r="V7" s="96" t="n"/>
      <c r="W7" s="96" t="n"/>
      <c r="X7" s="96" t="n"/>
      <c r="Y7" s="96" t="n"/>
      <c r="Z7" s="96" t="n"/>
      <c r="AA7" s="96" t="n"/>
      <c r="AB7" s="96" t="n"/>
      <c r="AC7" s="93" t="n"/>
      <c r="AD7" s="108">
        <f>IF(OR(ISNUMBER(SEARCH("POSTPONED",$F7)),ISNUMBER(SEARCH("NOT APPROVED",$F7))),2,IF(ISNUMBER(SEARCH("COMPLETE",$F7)),3,1))</f>
        <v/>
      </c>
    </row>
    <row r="8">
      <c r="A8" s="89" t="inlineStr">
        <is>
          <t>ETE-19</t>
        </is>
      </c>
      <c r="B8" s="89" t="inlineStr">
        <is>
          <t>Changes to AR Aging Report</t>
        </is>
      </c>
      <c r="C8" s="89" t="inlineStr">
        <is>
          <t>Enhancement</t>
        </is>
      </c>
      <c r="D8" s="89" t="inlineStr">
        <is>
          <t>Finance</t>
        </is>
      </c>
      <c r="E8" s="89" t="inlineStr">
        <is>
          <t>Tom Newell</t>
        </is>
      </c>
      <c r="F8" s="89" t="inlineStr">
        <is>
          <t>🟢 ON TRACK</t>
        </is>
      </c>
      <c r="G8" s="91" t="n">
        <v>0</v>
      </c>
      <c r="H8" s="89" t="inlineStr">
        <is>
          <t>High</t>
        </is>
      </c>
      <c r="I8" s="314" t="n">
        <v>46076</v>
      </c>
      <c r="J8" s="314" t="n">
        <v>46129</v>
      </c>
      <c r="K8" s="314" t="n"/>
      <c r="L8" s="89" t="inlineStr">
        <is>
          <t>Synnergie</t>
        </is>
      </c>
      <c r="M8" s="93" t="inlineStr">
        <is>
          <t>Emily Fridley</t>
        </is>
      </c>
      <c r="N8" s="93" t="inlineStr">
        <is>
          <t>Audrey Debaere</t>
        </is>
      </c>
      <c r="O8" s="93" t="inlineStr">
        <is>
          <t>Ajay Kumar</t>
        </is>
      </c>
      <c r="P8" s="93" t="inlineStr">
        <is>
          <t>Bhavya Reddy</t>
        </is>
      </c>
      <c r="Q8" t="inlineStr">
        <is>
          <t>Alex Young</t>
        </is>
      </c>
      <c r="R8" s="89" t="inlineStr">
        <is>
          <t>M: 80-160 Hours</t>
        </is>
      </c>
      <c r="S8" s="89" t="n">
        <v>120</v>
      </c>
      <c r="T8" s="107">
        <f>$R8*65</f>
        <v/>
      </c>
      <c r="U8" s="96" t="n">
        <v>0.1</v>
      </c>
      <c r="V8" s="96" t="n">
        <v>0.25</v>
      </c>
      <c r="W8" s="96" t="n">
        <v>0.65</v>
      </c>
      <c r="X8" s="96" t="n"/>
      <c r="Y8" s="96" t="n"/>
      <c r="Z8" s="96" t="n"/>
      <c r="AA8" s="96" t="n"/>
      <c r="AB8" s="96" t="n"/>
      <c r="AC8" s="93" t="n"/>
      <c r="AD8" s="108">
        <f>IF(OR(ISNUMBER(SEARCH("POSTPONED",$F8)),ISNUMBER(SEARCH("NOT APPROVED",$F8))),2,IF(ISNUMBER(SEARCH("COMPLETE",$F8)),3,1))</f>
        <v/>
      </c>
    </row>
    <row r="9">
      <c r="A9" s="89" t="inlineStr">
        <is>
          <t>ETE-49</t>
        </is>
      </c>
      <c r="B9" s="89" t="inlineStr">
        <is>
          <t>Marketing: STE Rewards Tier</t>
        </is>
      </c>
      <c r="C9" s="89" t="inlineStr">
        <is>
          <t>Enhancement</t>
        </is>
      </c>
      <c r="D9" s="89" t="inlineStr">
        <is>
          <t>Sales &amp; Distribution</t>
        </is>
      </c>
      <c r="E9" s="89" t="inlineStr">
        <is>
          <t>Tom Vierling</t>
        </is>
      </c>
      <c r="F9" s="89" t="inlineStr">
        <is>
          <t>📋 NEEDS TECHNICAL SPEC</t>
        </is>
      </c>
      <c r="G9" s="91" t="n">
        <v>0</v>
      </c>
      <c r="H9" s="89" t="inlineStr">
        <is>
          <t>Medium</t>
        </is>
      </c>
      <c r="I9" s="314" t="n"/>
      <c r="J9" s="314" t="n"/>
      <c r="K9" s="314" t="n"/>
      <c r="L9" s="89" t="inlineStr">
        <is>
          <t>Systems Applications</t>
        </is>
      </c>
      <c r="M9" s="93" t="inlineStr">
        <is>
          <t>Emily Fridley</t>
        </is>
      </c>
      <c r="N9" s="93" t="inlineStr">
        <is>
          <t>Audrey Debaere</t>
        </is>
      </c>
      <c r="O9" s="93" t="n"/>
      <c r="P9" s="93" t="n"/>
      <c r="Q9" t="inlineStr">
        <is>
          <t>Alex Young</t>
        </is>
      </c>
      <c r="R9" s="89" t="inlineStr">
        <is>
          <t>L: 160-320 Hours</t>
        </is>
      </c>
      <c r="S9" s="89" t="n">
        <v>240</v>
      </c>
      <c r="T9" s="107">
        <f>$R9*65</f>
        <v/>
      </c>
      <c r="U9" s="109" t="n">
        <v>0.1</v>
      </c>
      <c r="V9" s="109" t="n">
        <v>0</v>
      </c>
      <c r="W9" s="109" t="n">
        <v>0</v>
      </c>
      <c r="X9" s="109" t="n">
        <v>0.75</v>
      </c>
      <c r="Y9" s="109" t="n">
        <v>0</v>
      </c>
      <c r="Z9" s="109" t="n">
        <v>0</v>
      </c>
      <c r="AA9" s="109" t="n">
        <v>0</v>
      </c>
      <c r="AB9" s="109" t="n">
        <v>0</v>
      </c>
      <c r="AC9" s="93" t="n"/>
      <c r="AD9" s="108">
        <f>IF(OR(ISNUMBER(SEARCH("POSTPONED",$F9)),ISNUMBER(SEARCH("NOT APPROVED",$F9))),2,IF(ISNUMBER(SEARCH("COMPLETE",$F9)),3,1))</f>
        <v/>
      </c>
    </row>
    <row r="10">
      <c r="A10" s="99" t="inlineStr">
        <is>
          <t>ETE-7</t>
        </is>
      </c>
      <c r="B10" s="99" t="inlineStr">
        <is>
          <t>Outsourced Unit Core Accounting</t>
        </is>
      </c>
      <c r="C10" s="99" t="inlineStr">
        <is>
          <t>Enhancement</t>
        </is>
      </c>
      <c r="D10" s="99" t="inlineStr">
        <is>
          <t>Finance</t>
        </is>
      </c>
      <c r="E10" s="99" t="inlineStr">
        <is>
          <t>Tom Newell</t>
        </is>
      </c>
      <c r="F10" s="99" t="inlineStr">
        <is>
          <t>📋 NEEDS FUNCTIONAL SPEC</t>
        </is>
      </c>
      <c r="G10" s="101" t="n">
        <v>0</v>
      </c>
      <c r="H10" s="99" t="inlineStr">
        <is>
          <t>Medium</t>
        </is>
      </c>
      <c r="I10" s="315" t="n"/>
      <c r="J10" s="315" t="n"/>
      <c r="K10" s="315" t="n"/>
      <c r="L10" s="99" t="inlineStr">
        <is>
          <t>Synnergie</t>
        </is>
      </c>
      <c r="M10" s="103" t="inlineStr">
        <is>
          <t>Emily Fridley</t>
        </is>
      </c>
      <c r="N10" s="103" t="inlineStr">
        <is>
          <t>Audrey Debaere</t>
        </is>
      </c>
      <c r="O10" s="103" t="n"/>
      <c r="P10" s="103" t="n"/>
      <c r="Q10" t="inlineStr">
        <is>
          <t>Alex Young</t>
        </is>
      </c>
      <c r="R10" s="99" t="inlineStr">
        <is>
          <t>XXL: &gt; 640 Hours</t>
        </is>
      </c>
      <c r="S10" s="99" t="n">
        <v>640</v>
      </c>
      <c r="T10" s="104">
        <f>$R10*65</f>
        <v/>
      </c>
      <c r="U10" s="110" t="n">
        <v>0.1</v>
      </c>
      <c r="V10" s="110" t="n">
        <v>0.25</v>
      </c>
      <c r="W10" s="110" t="n">
        <v>0.65</v>
      </c>
      <c r="X10" s="110" t="n">
        <v>0</v>
      </c>
      <c r="Y10" s="110" t="n">
        <v>0</v>
      </c>
      <c r="Z10" s="110" t="n">
        <v>0</v>
      </c>
      <c r="AA10" s="110" t="n">
        <v>0</v>
      </c>
      <c r="AB10" s="110" t="n">
        <v>0</v>
      </c>
      <c r="AC10" s="103" t="inlineStr">
        <is>
          <t>8-9 month project</t>
        </is>
      </c>
      <c r="AD10" s="106">
        <f>IF(OR(ISNUMBER(SEARCH("POSTPONED",$F10)),ISNUMBER(SEARCH("NOT APPROVED",$F10))),2,IF(ISNUMBER(SEARCH("COMPLETE",$F10)),3,1))</f>
        <v/>
      </c>
    </row>
    <row r="11">
      <c r="A11" s="89" t="inlineStr">
        <is>
          <t>ETE-52</t>
        </is>
      </c>
      <c r="B11" s="89" t="inlineStr">
        <is>
          <t>SWIMS/Syteline Reporting</t>
        </is>
      </c>
      <c r="C11" s="89" t="inlineStr">
        <is>
          <t>Enhancement</t>
        </is>
      </c>
      <c r="D11" s="89" t="inlineStr">
        <is>
          <t>Supply Chain</t>
        </is>
      </c>
      <c r="E11" s="89" t="inlineStr">
        <is>
          <t>Jon Besherse</t>
        </is>
      </c>
      <c r="F11" s="89" t="inlineStr">
        <is>
          <t>📋 NEEDS TECHNICAL SPEC</t>
        </is>
      </c>
      <c r="G11" s="91" t="n">
        <v>0</v>
      </c>
      <c r="H11" s="89" t="inlineStr">
        <is>
          <t>Medium</t>
        </is>
      </c>
      <c r="I11" s="314" t="n"/>
      <c r="J11" s="314" t="n"/>
      <c r="K11" s="314" t="n"/>
      <c r="L11" s="89" t="inlineStr">
        <is>
          <t>Systems Applications</t>
        </is>
      </c>
      <c r="M11" s="93" t="inlineStr">
        <is>
          <t>Emily Fridley</t>
        </is>
      </c>
      <c r="N11" s="93" t="inlineStr">
        <is>
          <t>Audrey Debaere</t>
        </is>
      </c>
      <c r="O11" s="93" t="n"/>
      <c r="P11" s="93" t="n"/>
      <c r="Q11" t="inlineStr">
        <is>
          <t>Alex Young</t>
        </is>
      </c>
      <c r="R11" s="89" t="inlineStr">
        <is>
          <t>S: &lt; 80 Hours</t>
        </is>
      </c>
      <c r="S11" s="89" t="n">
        <v>40</v>
      </c>
      <c r="T11" s="107">
        <f>$R11*65</f>
        <v/>
      </c>
      <c r="U11" s="109" t="n">
        <v>0.1</v>
      </c>
      <c r="V11" s="109" t="n">
        <v>0</v>
      </c>
      <c r="W11" s="109" t="n">
        <v>0</v>
      </c>
      <c r="X11" s="109" t="n">
        <v>0.75</v>
      </c>
      <c r="Y11" s="109" t="n">
        <v>0</v>
      </c>
      <c r="Z11" s="109" t="n">
        <v>0</v>
      </c>
      <c r="AA11" s="109" t="n">
        <v>0</v>
      </c>
      <c r="AB11" s="109" t="n">
        <v>0</v>
      </c>
      <c r="AC11" s="93" t="n"/>
      <c r="AD11" s="108">
        <f>IF(OR(ISNUMBER(SEARCH("POSTPONED",$F11)),ISNUMBER(SEARCH("NOT APPROVED",$F11))),2,IF(ISNUMBER(SEARCH("COMPLETE",$F11)),3,1))</f>
        <v/>
      </c>
    </row>
    <row r="12">
      <c r="A12" s="99" t="inlineStr">
        <is>
          <t>ETE-16</t>
        </is>
      </c>
      <c r="B12" s="99" t="inlineStr">
        <is>
          <t>Partial Pay w/ CC from WMERP</t>
        </is>
      </c>
      <c r="C12" s="99" t="inlineStr">
        <is>
          <t>Enhancement</t>
        </is>
      </c>
      <c r="D12" s="99" t="inlineStr">
        <is>
          <t>Finance</t>
        </is>
      </c>
      <c r="E12" s="99" t="inlineStr">
        <is>
          <t>Tom Newell</t>
        </is>
      </c>
      <c r="F12" s="99" t="inlineStr">
        <is>
          <t>⚪ NOT STARTED</t>
        </is>
      </c>
      <c r="G12" s="101" t="n">
        <v>0</v>
      </c>
      <c r="H12" s="99" t="inlineStr">
        <is>
          <t>Medium</t>
        </is>
      </c>
      <c r="I12" s="315" t="n"/>
      <c r="J12" s="315" t="n"/>
      <c r="K12" s="315" t="n"/>
      <c r="L12" s="99" t="inlineStr">
        <is>
          <t>Synnergie</t>
        </is>
      </c>
      <c r="M12" s="103" t="inlineStr">
        <is>
          <t>Emily Fridley</t>
        </is>
      </c>
      <c r="N12" s="103" t="inlineStr">
        <is>
          <t>Audrey Debaere</t>
        </is>
      </c>
      <c r="O12" s="103" t="n"/>
      <c r="P12" s="103" t="n"/>
      <c r="Q12" t="inlineStr">
        <is>
          <t>Alex Young</t>
        </is>
      </c>
      <c r="R12" s="99" t="inlineStr">
        <is>
          <t>M: 80-160 Hours</t>
        </is>
      </c>
      <c r="S12" s="99" t="n">
        <v>120</v>
      </c>
      <c r="T12" s="104">
        <f>$R12*65</f>
        <v/>
      </c>
      <c r="U12" s="110" t="n">
        <v>0.1</v>
      </c>
      <c r="V12" s="110" t="n">
        <v>0.25</v>
      </c>
      <c r="W12" s="110" t="n">
        <v>0.65</v>
      </c>
      <c r="X12" s="110" t="n">
        <v>0</v>
      </c>
      <c r="Y12" s="110" t="n">
        <v>0</v>
      </c>
      <c r="Z12" s="110" t="n">
        <v>0</v>
      </c>
      <c r="AA12" s="110" t="n">
        <v>0</v>
      </c>
      <c r="AB12" s="110" t="n">
        <v>0</v>
      </c>
      <c r="AC12" s="103" t="n"/>
      <c r="AD12" s="106">
        <f>IF(OR(ISNUMBER(SEARCH("POSTPONED",$F12)),ISNUMBER(SEARCH("NOT APPROVED",$F12))),2,IF(ISNUMBER(SEARCH("COMPLETE",$F12)),3,1))</f>
        <v/>
      </c>
    </row>
    <row r="13">
      <c r="A13" s="89" t="inlineStr">
        <is>
          <t>ETE-37</t>
        </is>
      </c>
      <c r="B13" s="89" t="inlineStr">
        <is>
          <t>Magic Search in BuyETE</t>
        </is>
      </c>
      <c r="C13" s="89" t="inlineStr">
        <is>
          <t>Enhancement</t>
        </is>
      </c>
      <c r="D13" s="89" t="inlineStr">
        <is>
          <t>Sales &amp; Distribution</t>
        </is>
      </c>
      <c r="E13" s="89" t="inlineStr">
        <is>
          <t>Tom Vierling</t>
        </is>
      </c>
      <c r="F13" s="89" t="inlineStr">
        <is>
          <t>📋 NEEDS TECHNICAL SPEC</t>
        </is>
      </c>
      <c r="G13" s="91" t="n">
        <v>0</v>
      </c>
      <c r="H13" s="89" t="inlineStr">
        <is>
          <t>Highest</t>
        </is>
      </c>
      <c r="I13" s="314" t="n"/>
      <c r="J13" s="314" t="n"/>
      <c r="K13" s="314" t="n"/>
      <c r="L13" s="89" t="inlineStr">
        <is>
          <t>Systems Applications</t>
        </is>
      </c>
      <c r="M13" s="93" t="inlineStr">
        <is>
          <t>Emily Fridley</t>
        </is>
      </c>
      <c r="N13" s="93" t="inlineStr">
        <is>
          <t>Audrey Debaere</t>
        </is>
      </c>
      <c r="O13" s="93" t="n"/>
      <c r="P13" s="93" t="n"/>
      <c r="Q13" t="inlineStr">
        <is>
          <t>Alex Young</t>
        </is>
      </c>
      <c r="R13" s="89" t="inlineStr">
        <is>
          <t>S: &lt; 80 Hours</t>
        </is>
      </c>
      <c r="S13" s="89" t="n">
        <v>40</v>
      </c>
      <c r="T13" s="107">
        <f>$R13*65</f>
        <v/>
      </c>
      <c r="U13" s="109" t="n">
        <v>0.1</v>
      </c>
      <c r="V13" s="109" t="n">
        <v>0.25</v>
      </c>
      <c r="W13" s="109" t="n">
        <v>0</v>
      </c>
      <c r="X13" s="109" t="n">
        <v>0.65</v>
      </c>
      <c r="Y13" s="109" t="n">
        <v>0</v>
      </c>
      <c r="Z13" s="109" t="n">
        <v>0</v>
      </c>
      <c r="AA13" s="109" t="n">
        <v>0</v>
      </c>
      <c r="AB13" s="109" t="n">
        <v>0</v>
      </c>
      <c r="AC13" s="93" t="n"/>
      <c r="AD13" s="108">
        <f>IF(OR(ISNUMBER(SEARCH("POSTPONED",$F13)),ISNUMBER(SEARCH("NOT APPROVED",$F13))),2,IF(ISNUMBER(SEARCH("COMPLETE",$F13)),3,1))</f>
        <v/>
      </c>
    </row>
    <row r="14">
      <c r="A14" s="99" t="inlineStr">
        <is>
          <t>ETE-97</t>
        </is>
      </c>
      <c r="B14" s="99" t="inlineStr">
        <is>
          <t>Standard Order Process Notifications</t>
        </is>
      </c>
      <c r="C14" s="99" t="inlineStr">
        <is>
          <t>Enhancement</t>
        </is>
      </c>
      <c r="D14" s="99" t="inlineStr">
        <is>
          <t>Sales &amp; Distribution</t>
        </is>
      </c>
      <c r="E14" s="99" t="inlineStr">
        <is>
          <t>Tom Vierling</t>
        </is>
      </c>
      <c r="F14" s="99" t="inlineStr">
        <is>
          <t>⚪ NOT STARTED</t>
        </is>
      </c>
      <c r="G14" s="101" t="n">
        <v>0</v>
      </c>
      <c r="H14" s="99" t="inlineStr">
        <is>
          <t>Highest</t>
        </is>
      </c>
      <c r="I14" s="315" t="n"/>
      <c r="J14" s="315" t="n"/>
      <c r="K14" s="315" t="n"/>
      <c r="L14" s="99" t="inlineStr">
        <is>
          <t>Systems Applications</t>
        </is>
      </c>
      <c r="M14" s="103" t="inlineStr">
        <is>
          <t>Emily Fridley</t>
        </is>
      </c>
      <c r="N14" s="103" t="inlineStr">
        <is>
          <t>Audrey Debaere</t>
        </is>
      </c>
      <c r="O14" s="103" t="n"/>
      <c r="P14" s="103" t="n"/>
      <c r="Q14" t="inlineStr">
        <is>
          <t>Alex Young</t>
        </is>
      </c>
      <c r="R14" s="99" t="n"/>
      <c r="S14" s="99" t="n">
        <v>200</v>
      </c>
      <c r="T14" s="104">
        <f>$R14*65</f>
        <v/>
      </c>
      <c r="U14" s="110" t="n">
        <v>0.1</v>
      </c>
      <c r="V14" s="110" t="n">
        <v>0</v>
      </c>
      <c r="W14" s="110" t="n">
        <v>0</v>
      </c>
      <c r="X14" s="110" t="n">
        <v>0.75</v>
      </c>
      <c r="Y14" s="110" t="n">
        <v>0</v>
      </c>
      <c r="Z14" s="110" t="n">
        <v>0</v>
      </c>
      <c r="AA14" s="110" t="n">
        <v>0</v>
      </c>
      <c r="AB14" s="110" t="n">
        <v>0</v>
      </c>
      <c r="AC14" s="103" t="n"/>
      <c r="AD14" s="106">
        <f>IF(OR(ISNUMBER(SEARCH("POSTPONED",$F14)),ISNUMBER(SEARCH("NOT APPROVED",$F14))),2,IF(ISNUMBER(SEARCH("COMPLETE",$F14)),3,1))</f>
        <v/>
      </c>
    </row>
    <row r="15">
      <c r="A15" s="89" t="inlineStr">
        <is>
          <t>ETE-100</t>
        </is>
      </c>
      <c r="B15" s="89" t="inlineStr">
        <is>
          <t>ATSG Expired Members Self-Payment</t>
        </is>
      </c>
      <c r="C15" s="89" t="inlineStr">
        <is>
          <t>Enhancement</t>
        </is>
      </c>
      <c r="D15" s="89" t="inlineStr">
        <is>
          <t>Sales &amp; Distribution</t>
        </is>
      </c>
      <c r="E15" s="89" t="inlineStr">
        <is>
          <t>Tom Vierling</t>
        </is>
      </c>
      <c r="F15" s="89" t="inlineStr">
        <is>
          <t>📋 NEEDS FUNCTIONAL SPEC</t>
        </is>
      </c>
      <c r="G15" s="91" t="n">
        <v>0</v>
      </c>
      <c r="H15" s="89" t="inlineStr">
        <is>
          <t>Medium</t>
        </is>
      </c>
      <c r="I15" s="314" t="n"/>
      <c r="J15" s="314" t="n"/>
      <c r="K15" s="314" t="n"/>
      <c r="L15" s="89" t="inlineStr">
        <is>
          <t>Systems Applications</t>
        </is>
      </c>
      <c r="M15" s="93" t="inlineStr">
        <is>
          <t>Emily Fridley</t>
        </is>
      </c>
      <c r="N15" s="93" t="inlineStr">
        <is>
          <t>Audrey Debaere</t>
        </is>
      </c>
      <c r="O15" s="93" t="n"/>
      <c r="P15" s="93" t="n"/>
      <c r="Q15" t="inlineStr">
        <is>
          <t>Alex Young</t>
        </is>
      </c>
      <c r="R15" s="89" t="n"/>
      <c r="S15" s="89" t="n">
        <v>200</v>
      </c>
      <c r="T15" s="107">
        <f>$R15*65</f>
        <v/>
      </c>
      <c r="U15" s="109" t="n">
        <v>0.1</v>
      </c>
      <c r="V15" s="109" t="n">
        <v>0</v>
      </c>
      <c r="W15" s="109" t="n">
        <v>0</v>
      </c>
      <c r="X15" s="109" t="n">
        <v>0.75</v>
      </c>
      <c r="Y15" s="109" t="n">
        <v>0</v>
      </c>
      <c r="Z15" s="109" t="n">
        <v>0</v>
      </c>
      <c r="AA15" s="109" t="n">
        <v>0</v>
      </c>
      <c r="AB15" s="109" t="n">
        <v>0</v>
      </c>
      <c r="AC15" s="93" t="n"/>
      <c r="AD15" s="108">
        <f>IF(OR(ISNUMBER(SEARCH("POSTPONED",$F15)),ISNUMBER(SEARCH("NOT APPROVED",$F15))),2,IF(ISNUMBER(SEARCH("COMPLETE",$F15)),3,1))</f>
        <v/>
      </c>
    </row>
    <row r="16">
      <c r="A16" s="99" t="inlineStr">
        <is>
          <t>ETE-124</t>
        </is>
      </c>
      <c r="B16" s="99" t="inlineStr">
        <is>
          <t>Clean Up Return Loads</t>
        </is>
      </c>
      <c r="C16" s="99" t="inlineStr">
        <is>
          <t>Enhancement</t>
        </is>
      </c>
      <c r="D16" s="99" t="inlineStr">
        <is>
          <t>Finance</t>
        </is>
      </c>
      <c r="E16" s="99" t="inlineStr">
        <is>
          <t>Tom Newell</t>
        </is>
      </c>
      <c r="F16" s="99" t="inlineStr">
        <is>
          <t>📋 NEEDS TECHNICAL SPEC</t>
        </is>
      </c>
      <c r="G16" s="101" t="n">
        <v>0</v>
      </c>
      <c r="H16" s="99" t="inlineStr">
        <is>
          <t>Highest</t>
        </is>
      </c>
      <c r="I16" s="315" t="n"/>
      <c r="J16" s="315" t="n"/>
      <c r="K16" s="315" t="n"/>
      <c r="L16" s="99" t="inlineStr">
        <is>
          <t>Synnergie</t>
        </is>
      </c>
      <c r="M16" s="103" t="inlineStr">
        <is>
          <t>Emily Fridley</t>
        </is>
      </c>
      <c r="N16" s="103" t="inlineStr">
        <is>
          <t>Audrey Debaere</t>
        </is>
      </c>
      <c r="O16" s="103" t="n"/>
      <c r="P16" s="103" t="n"/>
      <c r="Q16" t="inlineStr">
        <is>
          <t>Alex Young</t>
        </is>
      </c>
      <c r="R16" s="99" t="n"/>
      <c r="S16" s="99" t="n">
        <v>200</v>
      </c>
      <c r="T16" s="104">
        <f>$R16*65</f>
        <v/>
      </c>
      <c r="U16" s="110" t="n">
        <v>0.1</v>
      </c>
      <c r="V16" s="110" t="n">
        <v>0.25</v>
      </c>
      <c r="W16" s="110" t="n">
        <v>0.75</v>
      </c>
      <c r="X16" s="110" t="n">
        <v>0</v>
      </c>
      <c r="Y16" s="110" t="n">
        <v>0</v>
      </c>
      <c r="Z16" s="110" t="n">
        <v>0</v>
      </c>
      <c r="AA16" s="110" t="n">
        <v>0</v>
      </c>
      <c r="AB16" s="110" t="n">
        <v>0</v>
      </c>
      <c r="AC16" s="103" t="n"/>
      <c r="AD16" s="106">
        <f>IF(OR(ISNUMBER(SEARCH("POSTPONED",$F16)),ISNUMBER(SEARCH("NOT APPROVED",$F16))),2,IF(ISNUMBER(SEARCH("COMPLETE",$F16)),3,1))</f>
        <v/>
      </c>
    </row>
    <row r="17">
      <c r="A17" s="99" t="n"/>
      <c r="B17" s="99" t="n"/>
      <c r="C17" s="99" t="n"/>
      <c r="D17" s="99" t="n"/>
      <c r="E17" s="99" t="n"/>
      <c r="F17" s="99" t="n"/>
      <c r="G17" s="101" t="n"/>
      <c r="H17" s="99" t="n"/>
      <c r="I17" s="315" t="n"/>
      <c r="J17" s="315" t="n"/>
      <c r="K17" s="315" t="n"/>
      <c r="L17" s="99" t="n"/>
      <c r="M17" s="103" t="n"/>
      <c r="N17" s="103" t="n"/>
      <c r="O17" s="103" t="n"/>
      <c r="P17" s="103" t="n"/>
      <c r="R17" s="99" t="n"/>
      <c r="S17" s="99" t="n"/>
      <c r="T17" s="104" t="n"/>
      <c r="U17" s="99" t="n"/>
      <c r="V17" s="99" t="n"/>
      <c r="W17" s="99" t="n"/>
      <c r="X17" s="99" t="n"/>
      <c r="Y17" s="99" t="n"/>
      <c r="Z17" s="99" t="n"/>
      <c r="AA17" s="105" t="n"/>
      <c r="AB17" s="105" t="n"/>
      <c r="AC17" s="103" t="n"/>
      <c r="AD17" s="106">
        <f>IF(OR(ISNUMBER(SEARCH("POSTPONED",$F17)),ISNUMBER(SEARCH("NOT APPROVED",$F17))),2,IF(ISNUMBER(SEARCH("COMPLETE",$F17)),3,1))</f>
        <v/>
      </c>
    </row>
    <row r="18">
      <c r="A18" s="126" t="inlineStr">
        <is>
          <t>ETE-58</t>
        </is>
      </c>
      <c r="B18" s="126" t="inlineStr">
        <is>
          <t>Transfer Order Moved Items to Transit Location</t>
        </is>
      </c>
      <c r="C18" s="126" t="inlineStr">
        <is>
          <t>Enhancement</t>
        </is>
      </c>
      <c r="D18" s="126" t="inlineStr">
        <is>
          <t>Finance</t>
        </is>
      </c>
      <c r="E18" s="126" t="inlineStr">
        <is>
          <t>Jim Young</t>
        </is>
      </c>
      <c r="F18" s="126" t="inlineStr">
        <is>
          <t>⏸️ POSTPONED</t>
        </is>
      </c>
      <c r="G18" s="127" t="n">
        <v>0</v>
      </c>
      <c r="H18" s="126" t="n"/>
      <c r="I18" s="316" t="n"/>
      <c r="J18" s="316" t="n"/>
      <c r="K18" s="316" t="n"/>
      <c r="L18" s="126" t="n"/>
      <c r="M18" s="129" t="n"/>
      <c r="N18" s="129" t="n"/>
      <c r="O18" s="129" t="n"/>
      <c r="P18" s="129" t="n"/>
      <c r="R18" s="126" t="n"/>
      <c r="S18" s="126" t="n"/>
      <c r="T18" s="130" t="n"/>
      <c r="U18" s="126" t="n"/>
      <c r="V18" s="126" t="n"/>
      <c r="W18" s="126" t="n"/>
      <c r="X18" s="126" t="n"/>
      <c r="Y18" s="126" t="n"/>
      <c r="Z18" s="126" t="n"/>
      <c r="AA18" s="131" t="n"/>
      <c r="AB18" s="131" t="n"/>
      <c r="AC18" s="129" t="n"/>
      <c r="AD18" s="132">
        <f>IF(OR(ISNUMBER(SEARCH("POSTPONED",$F18)),ISNUMBER(SEARCH("NOT APPROVED",$F18))),2,IF(ISNUMBER(SEARCH("COMPLETE",$F18)),3,1))</f>
        <v/>
      </c>
    </row>
    <row r="19">
      <c r="A19" s="133" t="inlineStr">
        <is>
          <t>ETE-51</t>
        </is>
      </c>
      <c r="B19" s="133" t="inlineStr">
        <is>
          <t>RMA Credit Memo on Ghost Check-In</t>
        </is>
      </c>
      <c r="C19" s="133" t="inlineStr">
        <is>
          <t>Enhancement</t>
        </is>
      </c>
      <c r="D19" s="133" t="inlineStr">
        <is>
          <t>Finance</t>
        </is>
      </c>
      <c r="E19" s="133" t="inlineStr">
        <is>
          <t>Tom Newell</t>
        </is>
      </c>
      <c r="F19" s="133" t="inlineStr">
        <is>
          <t>⏸️ POSTPONED</t>
        </is>
      </c>
      <c r="G19" s="134" t="n">
        <v>0</v>
      </c>
      <c r="H19" s="133" t="n"/>
      <c r="I19" s="317" t="n"/>
      <c r="J19" s="317" t="n"/>
      <c r="K19" s="317" t="n"/>
      <c r="L19" s="133" t="n"/>
      <c r="M19" s="136" t="n"/>
      <c r="N19" s="136" t="n"/>
      <c r="O19" s="136" t="n"/>
      <c r="P19" s="136" t="n"/>
      <c r="R19" s="133" t="n"/>
      <c r="S19" s="133" t="n"/>
      <c r="T19" s="137" t="n"/>
      <c r="U19" s="133" t="n"/>
      <c r="V19" s="133" t="n"/>
      <c r="W19" s="133" t="n"/>
      <c r="X19" s="133" t="n"/>
      <c r="Y19" s="133" t="n"/>
      <c r="Z19" s="133" t="n"/>
      <c r="AA19" s="138" t="n"/>
      <c r="AB19" s="138" t="n"/>
      <c r="AC19" s="136" t="n"/>
      <c r="AD19" s="139">
        <f>IF(OR(ISNUMBER(SEARCH("POSTPONED",$F19)),ISNUMBER(SEARCH("NOT APPROVED",$F19))),2,IF(ISNUMBER(SEARCH("COMPLETE",$F19)),3,1))</f>
        <v/>
      </c>
    </row>
    <row r="20">
      <c r="A20" s="119" t="inlineStr">
        <is>
          <t>ETE-59</t>
        </is>
      </c>
      <c r="B20" s="119" t="inlineStr">
        <is>
          <t xml:space="preserve">Reconcile BridgePay CC Transactions </t>
        </is>
      </c>
      <c r="C20" s="119" t="inlineStr">
        <is>
          <t>Enhancement</t>
        </is>
      </c>
      <c r="D20" s="119" t="inlineStr">
        <is>
          <t>Finance</t>
        </is>
      </c>
      <c r="E20" s="119" t="inlineStr">
        <is>
          <t>Tom Newell</t>
        </is>
      </c>
      <c r="F20" s="119" t="inlineStr">
        <is>
          <t>⏸️ POSTPONED</t>
        </is>
      </c>
      <c r="G20" s="120" t="n">
        <v>0</v>
      </c>
      <c r="H20" s="119" t="n"/>
      <c r="I20" s="318" t="n"/>
      <c r="J20" s="318" t="n"/>
      <c r="K20" s="318" t="n"/>
      <c r="L20" s="119" t="n"/>
      <c r="M20" s="122" t="n"/>
      <c r="N20" s="122" t="n"/>
      <c r="O20" s="122" t="n"/>
      <c r="P20" s="122" t="n"/>
      <c r="R20" s="119" t="n"/>
      <c r="S20" s="119" t="n"/>
      <c r="T20" s="123" t="n"/>
      <c r="U20" s="119" t="n"/>
      <c r="V20" s="119" t="n"/>
      <c r="W20" s="119" t="n"/>
      <c r="X20" s="119" t="n"/>
      <c r="Y20" s="119" t="n"/>
      <c r="Z20" s="119" t="n"/>
      <c r="AA20" s="124" t="n"/>
      <c r="AB20" s="124" t="n"/>
      <c r="AC20" s="122" t="n"/>
      <c r="AD20" s="125">
        <f>IF(OR(ISNUMBER(SEARCH("POSTPONED",$F20)),ISNUMBER(SEARCH("NOT APPROVED",$F20))),2,IF(ISNUMBER(SEARCH("COMPLETE",$F20)),3,1))</f>
        <v/>
      </c>
    </row>
    <row r="21">
      <c r="A21" s="99" t="inlineStr">
        <is>
          <t>ETE-60</t>
        </is>
      </c>
      <c r="B21" s="99" t="inlineStr">
        <is>
          <t>EDI Payments Not Posting on Background</t>
        </is>
      </c>
      <c r="C21" s="99" t="inlineStr">
        <is>
          <t>Enhancement</t>
        </is>
      </c>
      <c r="D21" s="99" t="inlineStr">
        <is>
          <t>Finance</t>
        </is>
      </c>
      <c r="E21" s="99" t="inlineStr">
        <is>
          <t>Tom Newell</t>
        </is>
      </c>
      <c r="F21" s="99" t="inlineStr">
        <is>
          <t>⏸️ POSTPONED</t>
        </is>
      </c>
      <c r="G21" s="101" t="n">
        <v>0</v>
      </c>
      <c r="H21" s="99" t="n"/>
      <c r="I21" s="315" t="n"/>
      <c r="J21" s="315" t="n"/>
      <c r="K21" s="315" t="n"/>
      <c r="L21" s="99" t="n"/>
      <c r="M21" s="103" t="n"/>
      <c r="N21" s="103" t="n"/>
      <c r="O21" s="103" t="n"/>
      <c r="P21" s="103" t="n"/>
      <c r="R21" s="99" t="n"/>
      <c r="S21" s="99" t="n"/>
      <c r="T21" s="104" t="n"/>
      <c r="U21" s="99" t="n"/>
      <c r="V21" s="99" t="n"/>
      <c r="W21" s="99" t="n"/>
      <c r="X21" s="99" t="n"/>
      <c r="Y21" s="99" t="n"/>
      <c r="Z21" s="99" t="n"/>
      <c r="AA21" s="105" t="n"/>
      <c r="AB21" s="105" t="n"/>
      <c r="AC21" s="103" t="n"/>
      <c r="AD21" s="106">
        <f>IF(OR(ISNUMBER(SEARCH("POSTPONED",$F21)),ISNUMBER(SEARCH("NOT APPROVED",$F21))),2,IF(ISNUMBER(SEARCH("COMPLETE",$F21)),3,1))</f>
        <v/>
      </c>
    </row>
    <row r="22">
      <c r="A22" s="89" t="inlineStr">
        <is>
          <t>ETE-61</t>
        </is>
      </c>
      <c r="B22" s="89" t="inlineStr">
        <is>
          <t>Accum Deposits Received Field</t>
        </is>
      </c>
      <c r="C22" s="89" t="inlineStr">
        <is>
          <t>Bug</t>
        </is>
      </c>
      <c r="D22" s="89" t="inlineStr">
        <is>
          <t>Finance</t>
        </is>
      </c>
      <c r="E22" s="89" t="inlineStr">
        <is>
          <t>Tom Newell</t>
        </is>
      </c>
      <c r="F22" s="89" t="inlineStr">
        <is>
          <t>⏸️ POSTPONED</t>
        </is>
      </c>
      <c r="G22" s="91" t="n">
        <v>0</v>
      </c>
      <c r="H22" s="89" t="n"/>
      <c r="I22" s="314" t="n"/>
      <c r="J22" s="314" t="n"/>
      <c r="K22" s="314" t="n"/>
      <c r="L22" s="89" t="n"/>
      <c r="M22" s="93" t="n"/>
      <c r="N22" s="93" t="n"/>
      <c r="O22" s="93" t="n"/>
      <c r="P22" s="93" t="n"/>
      <c r="R22" s="89" t="n"/>
      <c r="S22" s="89" t="n"/>
      <c r="T22" s="107" t="n"/>
      <c r="U22" s="89" t="n"/>
      <c r="V22" s="89" t="n"/>
      <c r="W22" s="89" t="n"/>
      <c r="X22" s="89" t="n"/>
      <c r="Y22" s="89" t="n"/>
      <c r="Z22" s="89" t="n"/>
      <c r="AA22" s="96" t="n"/>
      <c r="AB22" s="96" t="n"/>
      <c r="AC22" s="93" t="n"/>
      <c r="AD22" s="108">
        <f>IF(OR(ISNUMBER(SEARCH("POSTPONED",$F22)),ISNUMBER(SEARCH("NOT APPROVED",$F22))),2,IF(ISNUMBER(SEARCH("COMPLETE",$F22)),3,1))</f>
        <v/>
      </c>
    </row>
    <row r="23">
      <c r="A23" s="99" t="inlineStr">
        <is>
          <t>ETE-86</t>
        </is>
      </c>
      <c r="B23" s="99" t="inlineStr">
        <is>
          <t xml:space="preserve">Allow TCM Core Receiving to Post </t>
        </is>
      </c>
      <c r="C23" s="99" t="inlineStr">
        <is>
          <t>Enhancement</t>
        </is>
      </c>
      <c r="D23" s="99" t="inlineStr">
        <is>
          <t>Engineering</t>
        </is>
      </c>
      <c r="E23" s="99" t="inlineStr">
        <is>
          <t>Ray Trumble</t>
        </is>
      </c>
      <c r="F23" s="99" t="inlineStr">
        <is>
          <t>⏸️ POSTPONED</t>
        </is>
      </c>
      <c r="G23" s="101" t="n">
        <v>0</v>
      </c>
      <c r="H23" s="99" t="n"/>
      <c r="I23" s="315" t="n"/>
      <c r="J23" s="315" t="n"/>
      <c r="K23" s="315" t="n"/>
      <c r="L23" s="99" t="n"/>
      <c r="M23" s="103" t="n"/>
      <c r="N23" s="103" t="n"/>
      <c r="O23" s="103" t="n"/>
      <c r="P23" s="103" t="n"/>
      <c r="R23" s="99" t="n"/>
      <c r="S23" s="99" t="n"/>
      <c r="T23" s="104" t="n"/>
      <c r="U23" s="99" t="n"/>
      <c r="V23" s="99" t="n"/>
      <c r="W23" s="99" t="n"/>
      <c r="X23" s="99" t="n"/>
      <c r="Y23" s="99" t="n"/>
      <c r="Z23" s="99" t="n"/>
      <c r="AA23" s="105" t="n"/>
      <c r="AB23" s="105" t="n"/>
      <c r="AC23" s="103" t="n"/>
      <c r="AD23" s="106">
        <f>IF(OR(ISNUMBER(SEARCH("POSTPONED",$F23)),ISNUMBER(SEARCH("NOT APPROVED",$F23))),2,IF(ISNUMBER(SEARCH("COMPLETE",$F23)),3,1))</f>
        <v/>
      </c>
    </row>
    <row r="24">
      <c r="A24" s="89" t="inlineStr">
        <is>
          <t>ETE-34</t>
        </is>
      </c>
      <c r="B24" s="89" t="inlineStr">
        <is>
          <t>Salesforce BDR Application &amp; Process Implementation</t>
        </is>
      </c>
      <c r="C24" s="89" t="inlineStr">
        <is>
          <t>Enhancement</t>
        </is>
      </c>
      <c r="D24" s="89" t="inlineStr">
        <is>
          <t>Sales &amp; Distribution</t>
        </is>
      </c>
      <c r="E24" s="89" t="inlineStr">
        <is>
          <t>Tom Vierling</t>
        </is>
      </c>
      <c r="F24" s="89" t="inlineStr">
        <is>
          <t>⏸️ POSTPONED</t>
        </is>
      </c>
      <c r="G24" s="91" t="n">
        <v>0</v>
      </c>
      <c r="H24" s="89" t="n"/>
      <c r="I24" s="314" t="n"/>
      <c r="J24" s="314" t="n"/>
      <c r="K24" s="314" t="n"/>
      <c r="L24" s="89" t="n"/>
      <c r="M24" s="93" t="n"/>
      <c r="N24" s="93" t="n"/>
      <c r="O24" s="93" t="n"/>
      <c r="P24" s="93" t="n"/>
      <c r="R24" s="89" t="n"/>
      <c r="S24" s="89" t="n"/>
      <c r="T24" s="107" t="n"/>
      <c r="U24" s="89" t="n"/>
      <c r="V24" s="89" t="n"/>
      <c r="W24" s="89" t="n"/>
      <c r="X24" s="89" t="n"/>
      <c r="Y24" s="89" t="n"/>
      <c r="Z24" s="89" t="n"/>
      <c r="AA24" s="96" t="n"/>
      <c r="AB24" s="96" t="n"/>
      <c r="AC24" s="93" t="n"/>
      <c r="AD24" s="108">
        <f>IF(OR(ISNUMBER(SEARCH("POSTPONED",$F24)),ISNUMBER(SEARCH("NOT APPROVED",$F24))),2,IF(ISNUMBER(SEARCH("COMPLETE",$F24)),3,1))</f>
        <v/>
      </c>
    </row>
    <row r="25">
      <c r="A25" s="99" t="inlineStr">
        <is>
          <t>ETE-35</t>
        </is>
      </c>
      <c r="B25" s="99" t="inlineStr">
        <is>
          <t>BuyETE Ability for Customers to Save Quotes</t>
        </is>
      </c>
      <c r="C25" s="99" t="inlineStr">
        <is>
          <t>Enhancement</t>
        </is>
      </c>
      <c r="D25" s="99" t="inlineStr">
        <is>
          <t>Sales &amp; Distribution</t>
        </is>
      </c>
      <c r="E25" s="99" t="inlineStr">
        <is>
          <t>Tom Vierling</t>
        </is>
      </c>
      <c r="F25" s="99" t="inlineStr">
        <is>
          <t>⏸️ POSTPONED</t>
        </is>
      </c>
      <c r="G25" s="101" t="n">
        <v>0</v>
      </c>
      <c r="H25" s="99" t="n"/>
      <c r="I25" s="315" t="n"/>
      <c r="J25" s="315" t="n"/>
      <c r="K25" s="315" t="n"/>
      <c r="L25" s="99" t="n"/>
      <c r="M25" s="103" t="n"/>
      <c r="N25" s="103" t="n"/>
      <c r="O25" s="103" t="n"/>
      <c r="P25" s="103" t="n"/>
      <c r="R25" s="99" t="n"/>
      <c r="S25" s="99" t="n"/>
      <c r="T25" s="104" t="n"/>
      <c r="U25" s="99" t="n"/>
      <c r="V25" s="99" t="n"/>
      <c r="W25" s="99" t="n"/>
      <c r="X25" s="99" t="n"/>
      <c r="Y25" s="99" t="n"/>
      <c r="Z25" s="99" t="n"/>
      <c r="AA25" s="105" t="n"/>
      <c r="AB25" s="105" t="n"/>
      <c r="AC25" s="103" t="n"/>
      <c r="AD25" s="106">
        <f>IF(OR(ISNUMBER(SEARCH("POSTPONED",$F25)),ISNUMBER(SEARCH("NOT APPROVED",$F25))),2,IF(ISNUMBER(SEARCH("COMPLETE",$F25)),3,1))</f>
        <v/>
      </c>
    </row>
    <row r="26">
      <c r="A26" s="89" t="inlineStr">
        <is>
          <t>ETE-33</t>
        </is>
      </c>
      <c r="B26" s="89" t="inlineStr">
        <is>
          <t>EDI 3PL Locations</t>
        </is>
      </c>
      <c r="C26" s="89" t="inlineStr">
        <is>
          <t>Enhancement</t>
        </is>
      </c>
      <c r="D26" s="89" t="inlineStr">
        <is>
          <t>Sales &amp; Distribution</t>
        </is>
      </c>
      <c r="E26" s="89" t="inlineStr">
        <is>
          <t>Tom Vierling</t>
        </is>
      </c>
      <c r="F26" s="89" t="inlineStr">
        <is>
          <t>⏸️ POSTPONED</t>
        </is>
      </c>
      <c r="G26" s="91" t="n">
        <v>0</v>
      </c>
      <c r="H26" s="89" t="inlineStr">
        <is>
          <t>High</t>
        </is>
      </c>
      <c r="I26" s="314" t="n"/>
      <c r="J26" s="314" t="n"/>
      <c r="K26" s="314" t="n"/>
      <c r="L26" s="89" t="inlineStr">
        <is>
          <t>Systems Applications</t>
        </is>
      </c>
      <c r="M26" s="93" t="n"/>
      <c r="N26" s="93" t="inlineStr">
        <is>
          <t>Jim Young</t>
        </is>
      </c>
      <c r="O26" s="93" t="n"/>
      <c r="P26" s="93" t="n"/>
      <c r="R26" s="89" t="inlineStr">
        <is>
          <t>M: 80-160 Hours</t>
        </is>
      </c>
      <c r="S26" s="89" t="n">
        <v>120</v>
      </c>
      <c r="T26" s="107" t="n"/>
      <c r="U26" s="89" t="n"/>
      <c r="V26" s="89" t="n"/>
      <c r="W26" s="89" t="n"/>
      <c r="X26" s="89" t="n"/>
      <c r="Y26" s="89" t="n"/>
      <c r="Z26" s="89" t="n"/>
      <c r="AA26" s="96" t="n"/>
      <c r="AB26" s="96" t="n"/>
      <c r="AC26" s="93" t="n"/>
      <c r="AD26" s="108">
        <f>IF(OR(ISNUMBER(SEARCH("POSTPONED",$F26)),ISNUMBER(SEARCH("NOT APPROVED",$F26))),2,IF(ISNUMBER(SEARCH("COMPLETE",$F26)),3,1))</f>
        <v/>
      </c>
    </row>
    <row r="27">
      <c r="A27" s="99" t="inlineStr">
        <is>
          <t>ETE-67</t>
        </is>
      </c>
      <c r="B27" s="99" t="inlineStr">
        <is>
          <t>Avalara Tax Issues</t>
        </is>
      </c>
      <c r="C27" s="99" t="inlineStr">
        <is>
          <t>Enhancement</t>
        </is>
      </c>
      <c r="D27" s="99" t="inlineStr">
        <is>
          <t>Finance</t>
        </is>
      </c>
      <c r="E27" s="99" t="inlineStr">
        <is>
          <t>Tom Newell</t>
        </is>
      </c>
      <c r="F27" s="99" t="inlineStr">
        <is>
          <t>✅ COMPLETE</t>
        </is>
      </c>
      <c r="G27" s="101" t="n">
        <v>1</v>
      </c>
      <c r="H27" s="99" t="inlineStr">
        <is>
          <t>Highest</t>
        </is>
      </c>
      <c r="I27" s="315" t="n">
        <v>46057</v>
      </c>
      <c r="J27" s="315" t="n">
        <v>46080</v>
      </c>
      <c r="K27" s="315" t="n"/>
      <c r="L27" s="99" t="inlineStr">
        <is>
          <t>Synnergie</t>
        </is>
      </c>
      <c r="M27" s="103" t="n"/>
      <c r="N27" s="103" t="inlineStr">
        <is>
          <t>Audrey Debaere</t>
        </is>
      </c>
      <c r="O27" s="103" t="inlineStr">
        <is>
          <t>Deepak Gudwani</t>
        </is>
      </c>
      <c r="P27" s="103" t="inlineStr">
        <is>
          <t>Sangamesh Koti</t>
        </is>
      </c>
      <c r="R27" s="99" t="inlineStr">
        <is>
          <t>M: 80-160 Hours</t>
        </is>
      </c>
      <c r="S27" s="99" t="n">
        <v>120</v>
      </c>
      <c r="T27" s="104">
        <f>$R27*65</f>
        <v/>
      </c>
      <c r="U27" s="105" t="n">
        <v>0.1</v>
      </c>
      <c r="V27" s="105" t="n">
        <v>0.25</v>
      </c>
      <c r="W27" s="105" t="n">
        <v>0.75</v>
      </c>
      <c r="X27" s="105" t="n"/>
      <c r="Y27" s="105" t="n"/>
      <c r="Z27" s="105" t="n"/>
      <c r="AA27" s="105" t="n"/>
      <c r="AB27" s="105" t="n"/>
      <c r="AC27" s="103" t="n"/>
      <c r="AD27" s="106">
        <f>IF(OR(ISNUMBER(SEARCH("POSTPONED",$F27)),ISNUMBER(SEARCH("NOT APPROVED",$F27))),2,IF(ISNUMBER(SEARCH("COMPLETE",$F27)),3,1))</f>
        <v/>
      </c>
    </row>
    <row r="28">
      <c r="A28" s="99" t="inlineStr">
        <is>
          <t>ETE-14</t>
        </is>
      </c>
      <c r="B28" s="99" t="inlineStr">
        <is>
          <t>Installed Return RMA Type</t>
        </is>
      </c>
      <c r="C28" s="99" t="inlineStr">
        <is>
          <t>Enhancement</t>
        </is>
      </c>
      <c r="D28" s="99" t="inlineStr">
        <is>
          <t>Supply Chain</t>
        </is>
      </c>
      <c r="E28" s="99" t="inlineStr">
        <is>
          <t>Jon Besherse</t>
        </is>
      </c>
      <c r="F28" s="99" t="inlineStr">
        <is>
          <t>✅ COMPLETE</t>
        </is>
      </c>
      <c r="G28" s="101" t="n">
        <v>1</v>
      </c>
      <c r="H28" s="99" t="inlineStr">
        <is>
          <t>Highest</t>
        </is>
      </c>
      <c r="I28" s="315" t="n">
        <v>46083</v>
      </c>
      <c r="J28" s="315" t="n">
        <v>46101</v>
      </c>
      <c r="K28" s="315" t="n"/>
      <c r="L28" s="99" t="inlineStr">
        <is>
          <t>Synnergie</t>
        </is>
      </c>
      <c r="M28" s="103" t="n"/>
      <c r="N28" s="103" t="inlineStr">
        <is>
          <t>Audrey Debaere</t>
        </is>
      </c>
      <c r="O28" s="103" t="n"/>
      <c r="P28" s="103" t="n"/>
      <c r="R28" s="99" t="inlineStr">
        <is>
          <t>M: 80-160 Hours</t>
        </is>
      </c>
      <c r="S28" s="99" t="n">
        <v>120</v>
      </c>
      <c r="T28" s="104">
        <f>$R28*65</f>
        <v/>
      </c>
      <c r="U28" s="105" t="n">
        <v>0.1</v>
      </c>
      <c r="V28" s="105" t="n">
        <v>0.25</v>
      </c>
      <c r="W28" s="105" t="n">
        <v>0.65</v>
      </c>
      <c r="X28" s="105" t="n"/>
      <c r="Y28" s="105" t="n"/>
      <c r="Z28" s="105" t="n"/>
      <c r="AA28" s="105" t="n"/>
      <c r="AB28" s="105" t="n"/>
      <c r="AC28" s="103" t="n"/>
      <c r="AD28" s="106">
        <f>IF(OR(ISNUMBER(SEARCH("POSTPONED",$F28)),ISNUMBER(SEARCH("NOT APPROVED",$F28))),2,IF(ISNUMBER(SEARCH("COMPLETE",$F28)),3,1))</f>
        <v/>
      </c>
    </row>
    <row r="29">
      <c r="A29" s="99" t="inlineStr">
        <is>
          <t>ETE-70</t>
        </is>
      </c>
      <c r="B29" s="99" t="inlineStr">
        <is>
          <t>Nutanix (Replace VMware)</t>
        </is>
      </c>
      <c r="C29" s="100" t="inlineStr">
        <is>
          <t>Key Initiative</t>
        </is>
      </c>
      <c r="D29" s="99" t="inlineStr">
        <is>
          <t>Information Technology</t>
        </is>
      </c>
      <c r="E29" s="99" t="inlineStr">
        <is>
          <t>Jim Koscielniak</t>
        </is>
      </c>
      <c r="F29" s="99" t="inlineStr">
        <is>
          <t>✅ COMPLETE</t>
        </is>
      </c>
      <c r="G29" s="101" t="n">
        <v>1</v>
      </c>
      <c r="H29" s="99" t="inlineStr">
        <is>
          <t>Highest</t>
        </is>
      </c>
      <c r="I29" s="315" t="n">
        <v>45992</v>
      </c>
      <c r="J29" s="315" t="n">
        <v>46102</v>
      </c>
      <c r="K29" s="315" t="n"/>
      <c r="L29" s="99" t="inlineStr">
        <is>
          <t>Infrastructure</t>
        </is>
      </c>
      <c r="M29" s="103" t="n"/>
      <c r="N29" s="103" t="n"/>
      <c r="O29" s="103" t="n"/>
      <c r="P29" s="103" t="inlineStr">
        <is>
          <t>Michael House</t>
        </is>
      </c>
      <c r="R29" s="99" t="n"/>
      <c r="S29" s="99" t="n">
        <v>120</v>
      </c>
      <c r="T29" s="104">
        <f>$R29*65</f>
        <v/>
      </c>
      <c r="U29" s="105" t="n">
        <v>0.1</v>
      </c>
      <c r="V29" s="105" t="n"/>
      <c r="W29" s="105" t="n"/>
      <c r="X29" s="105" t="n"/>
      <c r="Y29" s="105" t="n">
        <v>0.5</v>
      </c>
      <c r="Z29" s="105" t="n"/>
      <c r="AA29" s="105" t="n"/>
      <c r="AB29" s="105" t="n"/>
      <c r="AC29" s="103" t="n"/>
      <c r="AD29" s="106">
        <f>IF(OR(ISNUMBER(SEARCH("POSTPONED",$F29)),ISNUMBER(SEARCH("NOT APPROVED",$F29))),2,IF(ISNUMBER(SEARCH("COMPLETE",$F29)),3,1))</f>
        <v/>
      </c>
    </row>
    <row r="30">
      <c r="A30" s="99" t="inlineStr">
        <is>
          <t>ETE-65</t>
        </is>
      </c>
      <c r="B30" s="99" t="inlineStr">
        <is>
          <t>Rebuild Vendor Portal</t>
        </is>
      </c>
      <c r="C30" s="99" t="inlineStr">
        <is>
          <t>Enhancement</t>
        </is>
      </c>
      <c r="D30" s="99" t="inlineStr">
        <is>
          <t>Sales &amp; Distribution</t>
        </is>
      </c>
      <c r="E30" s="99" t="inlineStr">
        <is>
          <t>Tom Vierling</t>
        </is>
      </c>
      <c r="F30" s="99" t="inlineStr">
        <is>
          <t>✅ COMPLETE</t>
        </is>
      </c>
      <c r="G30" s="101" t="n">
        <v>1</v>
      </c>
      <c r="H30" s="99" t="inlineStr">
        <is>
          <t>High</t>
        </is>
      </c>
      <c r="I30" s="315" t="n">
        <v>45957</v>
      </c>
      <c r="J30" s="315" t="n">
        <v>46031</v>
      </c>
      <c r="K30" s="315" t="n">
        <v>46068</v>
      </c>
      <c r="L30" s="99" t="inlineStr">
        <is>
          <t>Systems Applications</t>
        </is>
      </c>
      <c r="M30" s="103" t="n"/>
      <c r="N30" s="103" t="inlineStr">
        <is>
          <t>Jim Young</t>
        </is>
      </c>
      <c r="O30" s="103" t="n"/>
      <c r="P30" s="103" t="inlineStr">
        <is>
          <t>Jonathon Gonzalez</t>
        </is>
      </c>
      <c r="R30" s="99" t="inlineStr">
        <is>
          <t>S: &lt; 80 Hours</t>
        </is>
      </c>
      <c r="S30" s="99" t="n">
        <v>60</v>
      </c>
      <c r="T30" s="104" t="n">
        <v>11895</v>
      </c>
      <c r="U30" s="99" t="n"/>
      <c r="V30" s="99" t="n"/>
      <c r="W30" s="99" t="n"/>
      <c r="X30" s="99" t="n"/>
      <c r="Y30" s="99" t="n"/>
      <c r="Z30" s="99" t="n"/>
      <c r="AA30" s="105" t="n"/>
      <c r="AB30" s="105" t="n"/>
      <c r="AC30" s="103" t="n"/>
      <c r="AD30" s="106">
        <f>IF(OR(ISNUMBER(SEARCH("POSTPONED",$F30)),ISNUMBER(SEARCH("NOT APPROVED",$F30))),2,IF(ISNUMBER(SEARCH("COMPLETE",$F30)),3,1))</f>
        <v/>
      </c>
    </row>
    <row r="31">
      <c r="A31" s="89" t="inlineStr">
        <is>
          <t>ETE-69</t>
        </is>
      </c>
      <c r="B31" s="89" t="inlineStr">
        <is>
          <t>Core Plan Optimization</t>
        </is>
      </c>
      <c r="C31" s="89" t="inlineStr">
        <is>
          <t>Key Initiative</t>
        </is>
      </c>
      <c r="D31" s="89" t="inlineStr">
        <is>
          <t>Supply Chain</t>
        </is>
      </c>
      <c r="E31" s="89" t="inlineStr">
        <is>
          <t>Jon Besherse</t>
        </is>
      </c>
      <c r="F31" s="89" t="inlineStr">
        <is>
          <t>✅ COMPLETE</t>
        </is>
      </c>
      <c r="G31" s="91" t="n">
        <v>1</v>
      </c>
      <c r="H31" s="89" t="inlineStr">
        <is>
          <t>High</t>
        </is>
      </c>
      <c r="I31" s="314" t="n">
        <v>45973</v>
      </c>
      <c r="J31" s="314" t="n">
        <v>46045</v>
      </c>
      <c r="K31" s="314" t="n">
        <v>46045</v>
      </c>
      <c r="L31" s="89" t="inlineStr">
        <is>
          <t>Synnergie</t>
        </is>
      </c>
      <c r="M31" s="93" t="n"/>
      <c r="N31" s="93" t="inlineStr">
        <is>
          <t>Audrey Debaere</t>
        </is>
      </c>
      <c r="O31" s="93" t="n"/>
      <c r="P31" s="93" t="inlineStr">
        <is>
          <t>Ravindra Reddy</t>
        </is>
      </c>
      <c r="R31" s="89" t="inlineStr">
        <is>
          <t>L: 160-320 Hours</t>
        </is>
      </c>
      <c r="S31" s="89" t="n">
        <v>360</v>
      </c>
      <c r="T31" s="107" t="n">
        <v>16120</v>
      </c>
      <c r="U31" s="89" t="n"/>
      <c r="V31" s="89" t="n"/>
      <c r="W31" s="89" t="n"/>
      <c r="X31" s="89" t="n"/>
      <c r="Y31" s="89" t="n"/>
      <c r="Z31" s="89" t="n"/>
      <c r="AA31" s="96" t="n"/>
      <c r="AB31" s="96" t="n"/>
      <c r="AC31" s="93" t="n"/>
      <c r="AD31" s="108">
        <f>IF(OR(ISNUMBER(SEARCH("POSTPONED",$F31)),ISNUMBER(SEARCH("NOT APPROVED",$F31))),2,IF(ISNUMBER(SEARCH("COMPLETE",$F31)),3,1))</f>
        <v/>
      </c>
    </row>
    <row r="32">
      <c r="A32" s="99" t="inlineStr">
        <is>
          <t>ETE-31</t>
        </is>
      </c>
      <c r="B32" s="99" t="inlineStr">
        <is>
          <t>Restocking Fees Added to RMA Credit Memo</t>
        </is>
      </c>
      <c r="C32" s="99" t="inlineStr">
        <is>
          <t>Enhancement</t>
        </is>
      </c>
      <c r="D32" s="99" t="inlineStr">
        <is>
          <t>Finance</t>
        </is>
      </c>
      <c r="E32" s="99" t="inlineStr">
        <is>
          <t>Tom Newell</t>
        </is>
      </c>
      <c r="F32" s="99" t="inlineStr">
        <is>
          <t>✅ COMPLETE</t>
        </is>
      </c>
      <c r="G32" s="101" t="n">
        <v>1</v>
      </c>
      <c r="H32" s="99" t="inlineStr">
        <is>
          <t>High</t>
        </is>
      </c>
      <c r="I32" s="315" t="n">
        <v>45648</v>
      </c>
      <c r="J32" s="315" t="n">
        <v>46059</v>
      </c>
      <c r="K32" s="315" t="n">
        <v>46081</v>
      </c>
      <c r="L32" s="99" t="inlineStr">
        <is>
          <t>Synnergie</t>
        </is>
      </c>
      <c r="M32" s="103" t="n"/>
      <c r="N32" s="103" t="inlineStr">
        <is>
          <t>Audrey Debaere</t>
        </is>
      </c>
      <c r="O32" s="103" t="n"/>
      <c r="P32" s="103" t="inlineStr">
        <is>
          <t>Bhavya Reddy</t>
        </is>
      </c>
      <c r="R32" s="99" t="inlineStr">
        <is>
          <t>L: 160-320 Hours</t>
        </is>
      </c>
      <c r="S32" s="99" t="n">
        <v>310</v>
      </c>
      <c r="T32" s="104" t="n">
        <v>1625</v>
      </c>
      <c r="U32" s="99" t="n"/>
      <c r="V32" s="99" t="n"/>
      <c r="W32" s="99" t="n"/>
      <c r="X32" s="99" t="n"/>
      <c r="Y32" s="99" t="n"/>
      <c r="Z32" s="99" t="n"/>
      <c r="AA32" s="105" t="n"/>
      <c r="AB32" s="105" t="n"/>
      <c r="AC32" s="103" t="n"/>
      <c r="AD32" s="106">
        <f>IF(OR(ISNUMBER(SEARCH("POSTPONED",$F32)),ISNUMBER(SEARCH("NOT APPROVED",$F32))),2,IF(ISNUMBER(SEARCH("COMPLETE",$F32)),3,1))</f>
        <v/>
      </c>
    </row>
    <row r="33">
      <c r="A33" s="89" t="inlineStr">
        <is>
          <t>ETE-45</t>
        </is>
      </c>
      <c r="B33" s="89" t="inlineStr">
        <is>
          <t>VB Bin Printer Integration</t>
        </is>
      </c>
      <c r="C33" s="89" t="inlineStr">
        <is>
          <t>Enhancement</t>
        </is>
      </c>
      <c r="D33" s="89" t="inlineStr">
        <is>
          <t>Engineering</t>
        </is>
      </c>
      <c r="E33" s="89" t="inlineStr">
        <is>
          <t>Ray Trumble</t>
        </is>
      </c>
      <c r="F33" s="89" t="inlineStr">
        <is>
          <t>✅ COMPLETE</t>
        </is>
      </c>
      <c r="G33" s="91" t="n">
        <v>1</v>
      </c>
      <c r="H33" s="89" t="inlineStr">
        <is>
          <t>High</t>
        </is>
      </c>
      <c r="I33" s="314" t="n">
        <v>45950</v>
      </c>
      <c r="J33" s="314" t="n">
        <v>46073</v>
      </c>
      <c r="K33" s="314" t="n">
        <v>46073</v>
      </c>
      <c r="L33" s="89" t="inlineStr">
        <is>
          <t>Synnergie</t>
        </is>
      </c>
      <c r="M33" s="93" t="n"/>
      <c r="N33" s="93" t="inlineStr">
        <is>
          <t>Cristian Varelas</t>
        </is>
      </c>
      <c r="O33" s="93" t="n"/>
      <c r="P33" s="93" t="inlineStr">
        <is>
          <t>Sangamesh Koti</t>
        </is>
      </c>
      <c r="R33" s="89" t="inlineStr">
        <is>
          <t>M: 80-160 Hours</t>
        </is>
      </c>
      <c r="S33" s="89" t="n">
        <v>160</v>
      </c>
      <c r="T33" s="107" t="n">
        <v>260</v>
      </c>
      <c r="U33" s="89" t="n"/>
      <c r="V33" s="89" t="n"/>
      <c r="W33" s="89" t="n"/>
      <c r="X33" s="89" t="n"/>
      <c r="Y33" s="89" t="n"/>
      <c r="Z33" s="89" t="n"/>
      <c r="AA33" s="96" t="n"/>
      <c r="AB33" s="96" t="n"/>
      <c r="AC33" s="93" t="n"/>
      <c r="AD33" s="108">
        <f>IF(OR(ISNUMBER(SEARCH("POSTPONED",$F33)),ISNUMBER(SEARCH("NOT APPROVED",$F33))),2,IF(ISNUMBER(SEARCH("COMPLETE",$F33)),3,1))</f>
        <v/>
      </c>
    </row>
    <row r="34">
      <c r="A34" s="99" t="inlineStr">
        <is>
          <t>ETE-42</t>
        </is>
      </c>
      <c r="B34" s="99" t="inlineStr">
        <is>
          <t>Gear Screen - Improved Production Oversight</t>
        </is>
      </c>
      <c r="C34" s="99" t="inlineStr">
        <is>
          <t>Key Initiative</t>
        </is>
      </c>
      <c r="D34" s="99" t="inlineStr">
        <is>
          <t>Production</t>
        </is>
      </c>
      <c r="E34" s="99" t="inlineStr">
        <is>
          <t>Ari Rosengarten</t>
        </is>
      </c>
      <c r="F34" s="99" t="inlineStr">
        <is>
          <t>✅ COMPLETE</t>
        </is>
      </c>
      <c r="G34" s="101" t="n">
        <v>1</v>
      </c>
      <c r="H34" s="99" t="inlineStr">
        <is>
          <t>High</t>
        </is>
      </c>
      <c r="I34" s="315" t="n">
        <v>46034</v>
      </c>
      <c r="J34" s="315" t="n">
        <v>46058</v>
      </c>
      <c r="K34" s="315" t="n">
        <v>46081</v>
      </c>
      <c r="L34" s="99" t="inlineStr">
        <is>
          <t>Synnergie</t>
        </is>
      </c>
      <c r="M34" s="103" t="n"/>
      <c r="N34" s="103" t="inlineStr">
        <is>
          <t>Cristian Varelas</t>
        </is>
      </c>
      <c r="O34" s="103" t="n"/>
      <c r="P34" s="103" t="inlineStr">
        <is>
          <t>Vishnu Premen</t>
        </is>
      </c>
      <c r="R34" s="99" t="inlineStr">
        <is>
          <t>M: 80-160 Hours</t>
        </is>
      </c>
      <c r="S34" s="99" t="n">
        <v>120</v>
      </c>
      <c r="T34" s="104" t="n"/>
      <c r="U34" s="99" t="n"/>
      <c r="V34" s="99" t="n"/>
      <c r="W34" s="99" t="n"/>
      <c r="X34" s="99" t="n"/>
      <c r="Y34" s="99" t="n"/>
      <c r="Z34" s="99" t="n"/>
      <c r="AA34" s="105" t="n"/>
      <c r="AB34" s="105" t="n"/>
      <c r="AC34" s="103" t="inlineStr">
        <is>
          <t>NAPA not ready</t>
        </is>
      </c>
      <c r="AD34" s="106">
        <f>IF(OR(ISNUMBER(SEARCH("POSTPONED",$F34)),ISNUMBER(SEARCH("NOT APPROVED",$F34))),2,IF(ISNUMBER(SEARCH("COMPLETE",$F34)),3,1))</f>
        <v/>
      </c>
    </row>
    <row r="35">
      <c r="A35" s="89" t="inlineStr">
        <is>
          <t>ETE-72</t>
        </is>
      </c>
      <c r="B35" s="89" t="inlineStr">
        <is>
          <t>Fortigate ZTNA - EMS Setup</t>
        </is>
      </c>
      <c r="C35" s="89" t="inlineStr">
        <is>
          <t>Key Initiative</t>
        </is>
      </c>
      <c r="D35" s="89" t="inlineStr">
        <is>
          <t>Information Technology</t>
        </is>
      </c>
      <c r="E35" s="89" t="inlineStr">
        <is>
          <t>Jim Koscielniak</t>
        </is>
      </c>
      <c r="F35" s="89" t="inlineStr">
        <is>
          <t>✅ COMPLETE</t>
        </is>
      </c>
      <c r="G35" s="91" t="n">
        <v>1</v>
      </c>
      <c r="H35" s="89" t="inlineStr">
        <is>
          <t>High</t>
        </is>
      </c>
      <c r="I35" s="314" t="n">
        <v>46003</v>
      </c>
      <c r="J35" s="314" t="n">
        <v>46022</v>
      </c>
      <c r="K35" s="314" t="n">
        <v>46080</v>
      </c>
      <c r="L35" s="89" t="inlineStr">
        <is>
          <t>Infrastructure</t>
        </is>
      </c>
      <c r="M35" s="93" t="n"/>
      <c r="N35" s="93" t="n"/>
      <c r="O35" s="93" t="n"/>
      <c r="P35" s="93" t="inlineStr">
        <is>
          <t>Justin Senour</t>
        </is>
      </c>
      <c r="R35" s="89" t="n"/>
      <c r="S35" s="89" t="n">
        <v>0</v>
      </c>
      <c r="T35" s="107" t="n"/>
      <c r="U35" s="89" t="n"/>
      <c r="V35" s="89" t="n"/>
      <c r="W35" s="89" t="n"/>
      <c r="X35" s="89" t="n"/>
      <c r="Y35" s="89" t="n"/>
      <c r="Z35" s="89" t="n"/>
      <c r="AA35" s="96" t="n"/>
      <c r="AB35" s="96" t="n"/>
      <c r="AC35" s="93" t="n"/>
      <c r="AD35" s="108">
        <f>IF(OR(ISNUMBER(SEARCH("POSTPONED",$F35)),ISNUMBER(SEARCH("NOT APPROVED",$F35))),2,IF(ISNUMBER(SEARCH("COMPLETE",$F35)),3,1))</f>
        <v/>
      </c>
    </row>
    <row r="36">
      <c r="A36" s="99" t="inlineStr">
        <is>
          <t>ETE-71</t>
        </is>
      </c>
      <c r="B36" s="99" t="inlineStr">
        <is>
          <t>One Drive Migration</t>
        </is>
      </c>
      <c r="C36" s="99" t="inlineStr">
        <is>
          <t>Key Initiative</t>
        </is>
      </c>
      <c r="D36" s="99" t="inlineStr">
        <is>
          <t>Information Technology</t>
        </is>
      </c>
      <c r="E36" s="99" t="inlineStr">
        <is>
          <t>Jim Koscielniak</t>
        </is>
      </c>
      <c r="F36" s="99" t="inlineStr">
        <is>
          <t>✅ COMPLETE</t>
        </is>
      </c>
      <c r="G36" s="101" t="n">
        <v>1</v>
      </c>
      <c r="H36" s="99" t="inlineStr">
        <is>
          <t>High</t>
        </is>
      </c>
      <c r="I36" s="315" t="n">
        <v>46013</v>
      </c>
      <c r="J36" s="315" t="n">
        <v>46059</v>
      </c>
      <c r="K36" s="315" t="n">
        <v>46068</v>
      </c>
      <c r="L36" s="99" t="inlineStr">
        <is>
          <t>Infrastructure</t>
        </is>
      </c>
      <c r="M36" s="103" t="n"/>
      <c r="N36" s="103" t="n"/>
      <c r="O36" s="103" t="n"/>
      <c r="P36" s="103" t="inlineStr">
        <is>
          <t>Michael House</t>
        </is>
      </c>
      <c r="R36" s="99" t="n"/>
      <c r="S36" s="99" t="n">
        <v>0</v>
      </c>
      <c r="T36" s="104" t="n"/>
      <c r="U36" s="99" t="n"/>
      <c r="V36" s="99" t="n"/>
      <c r="W36" s="99" t="n"/>
      <c r="X36" s="99" t="n"/>
      <c r="Y36" s="99" t="n"/>
      <c r="Z36" s="99" t="n"/>
      <c r="AA36" s="105" t="n"/>
      <c r="AB36" s="105" t="n"/>
      <c r="AC36" s="103" t="n"/>
      <c r="AD36" s="106">
        <f>IF(OR(ISNUMBER(SEARCH("POSTPONED",$F36)),ISNUMBER(SEARCH("NOT APPROVED",$F36))),2,IF(ISNUMBER(SEARCH("COMPLETE",$F36)),3,1))</f>
        <v/>
      </c>
    </row>
    <row r="37">
      <c r="A37" s="89" t="inlineStr">
        <is>
          <t>ETE-87</t>
        </is>
      </c>
      <c r="B37" s="89" t="inlineStr">
        <is>
          <t>Production Dashboard</t>
        </is>
      </c>
      <c r="C37" s="89" t="inlineStr">
        <is>
          <t>Enhancement</t>
        </is>
      </c>
      <c r="D37" s="89" t="inlineStr">
        <is>
          <t>Production</t>
        </is>
      </c>
      <c r="E37" s="89" t="inlineStr">
        <is>
          <t>Ari Rosengarten</t>
        </is>
      </c>
      <c r="F37" s="89" t="inlineStr">
        <is>
          <t>✅ COMPLETE</t>
        </is>
      </c>
      <c r="G37" s="91" t="n">
        <v>1</v>
      </c>
      <c r="H37" s="89" t="inlineStr">
        <is>
          <t>High</t>
        </is>
      </c>
      <c r="I37" s="314" t="n"/>
      <c r="J37" s="314" t="n"/>
      <c r="K37" s="314" t="n"/>
      <c r="L37" s="89" t="inlineStr">
        <is>
          <t>Systems Applications</t>
        </is>
      </c>
      <c r="M37" s="93" t="n"/>
      <c r="N37" s="93" t="n"/>
      <c r="O37" s="93" t="n"/>
      <c r="P37" s="93" t="n"/>
      <c r="R37" s="89" t="inlineStr">
        <is>
          <t>S: &lt; 80 Hours</t>
        </is>
      </c>
      <c r="S37" s="89" t="n">
        <v>40</v>
      </c>
      <c r="T37" s="107" t="n"/>
      <c r="U37" s="89" t="n"/>
      <c r="V37" s="89" t="n"/>
      <c r="W37" s="89" t="n"/>
      <c r="X37" s="89" t="n"/>
      <c r="Y37" s="89" t="n"/>
      <c r="Z37" s="89" t="n"/>
      <c r="AA37" s="96" t="n"/>
      <c r="AB37" s="96" t="n"/>
      <c r="AC37" s="93" t="n"/>
      <c r="AD37" s="108">
        <f>IF(OR(ISNUMBER(SEARCH("POSTPONED",$F37)),ISNUMBER(SEARCH("NOT APPROVED",$F37))),2,IF(ISNUMBER(SEARCH("COMPLETE",$F37)),3,1))</f>
        <v/>
      </c>
    </row>
    <row r="38">
      <c r="A38" s="99" t="inlineStr">
        <is>
          <t>ETE-88</t>
        </is>
      </c>
      <c r="B38" s="99" t="inlineStr">
        <is>
          <t>Return Load Phase 2</t>
        </is>
      </c>
      <c r="C38" s="99" t="inlineStr">
        <is>
          <t>Key Initiative</t>
        </is>
      </c>
      <c r="D38" s="99" t="inlineStr">
        <is>
          <t>Finance</t>
        </is>
      </c>
      <c r="E38" s="99" t="inlineStr">
        <is>
          <t>Tom Newell</t>
        </is>
      </c>
      <c r="F38" s="99" t="inlineStr">
        <is>
          <t>✅ COMPLETE</t>
        </is>
      </c>
      <c r="G38" s="101" t="n">
        <v>1</v>
      </c>
      <c r="H38" s="99" t="inlineStr">
        <is>
          <t>High</t>
        </is>
      </c>
      <c r="I38" s="315" t="n">
        <v>45957</v>
      </c>
      <c r="J38" s="315" t="n">
        <v>46020</v>
      </c>
      <c r="K38" s="315" t="n">
        <v>46031</v>
      </c>
      <c r="L38" s="99" t="inlineStr">
        <is>
          <t>Synnergie</t>
        </is>
      </c>
      <c r="M38" s="103" t="n"/>
      <c r="N38" s="103" t="inlineStr">
        <is>
          <t>Audrey Debaere</t>
        </is>
      </c>
      <c r="O38" s="103" t="n"/>
      <c r="P38" s="103" t="inlineStr">
        <is>
          <t>Sangamesh Koti</t>
        </is>
      </c>
      <c r="R38" s="99" t="n"/>
      <c r="S38" s="99" t="n">
        <v>320</v>
      </c>
      <c r="T38" s="104" t="n"/>
      <c r="U38" s="99" t="n"/>
      <c r="V38" s="99" t="n"/>
      <c r="W38" s="99" t="n"/>
      <c r="X38" s="99" t="n"/>
      <c r="Y38" s="99" t="n"/>
      <c r="Z38" s="99" t="n"/>
      <c r="AA38" s="105" t="n"/>
      <c r="AB38" s="105" t="n"/>
      <c r="AC38" s="103" t="n"/>
      <c r="AD38" s="106">
        <f>IF(OR(ISNUMBER(SEARCH("POSTPONED",$F38)),ISNUMBER(SEARCH("NOT APPROVED",$F38))),2,IF(ISNUMBER(SEARCH("COMPLETE",$F38)),3,1))</f>
        <v/>
      </c>
    </row>
    <row r="39">
      <c r="A39" s="89" t="inlineStr">
        <is>
          <t>ETE-73</t>
        </is>
      </c>
      <c r="B39" s="89" t="inlineStr">
        <is>
          <t>Teal Parts Daily Inventory Feed</t>
        </is>
      </c>
      <c r="C39" s="89" t="inlineStr">
        <is>
          <t>Enhancement</t>
        </is>
      </c>
      <c r="D39" s="89" t="inlineStr">
        <is>
          <t>Sales &amp; Distribution</t>
        </is>
      </c>
      <c r="E39" s="89" t="inlineStr">
        <is>
          <t>Tom Vierling</t>
        </is>
      </c>
      <c r="F39" s="89" t="inlineStr">
        <is>
          <t>✅ COMPLETE</t>
        </is>
      </c>
      <c r="G39" s="91" t="n">
        <v>1</v>
      </c>
      <c r="H39" s="89" t="inlineStr">
        <is>
          <t>Highest</t>
        </is>
      </c>
      <c r="I39" s="314" t="n"/>
      <c r="J39" s="314" t="n"/>
      <c r="K39" s="314" t="n"/>
      <c r="L39" s="89" t="inlineStr">
        <is>
          <t>Systems Applications</t>
        </is>
      </c>
      <c r="M39" s="93" t="n"/>
      <c r="N39" s="93" t="inlineStr">
        <is>
          <t>Cristian Varelas</t>
        </is>
      </c>
      <c r="O39" s="93" t="n"/>
      <c r="P39" s="93" t="n"/>
      <c r="R39" s="89" t="inlineStr">
        <is>
          <t>S: &lt; 80 Hours</t>
        </is>
      </c>
      <c r="S39" s="89" t="n">
        <v>40</v>
      </c>
      <c r="T39" s="107" t="n"/>
      <c r="U39" s="89" t="n"/>
      <c r="V39" s="89" t="n"/>
      <c r="W39" s="89" t="n"/>
      <c r="X39" s="89" t="n"/>
      <c r="Y39" s="89" t="n"/>
      <c r="Z39" s="89" t="n"/>
      <c r="AA39" s="96" t="n"/>
      <c r="AB39" s="96" t="n"/>
      <c r="AC39" s="93" t="n"/>
      <c r="AD39" s="108">
        <f>IF(OR(ISNUMBER(SEARCH("POSTPONED",$F39)),ISNUMBER(SEARCH("NOT APPROVED",$F39))),2,IF(ISNUMBER(SEARCH("COMPLETE",$F39)),3,1))</f>
        <v/>
      </c>
    </row>
    <row r="40">
      <c r="A40" s="99" t="inlineStr">
        <is>
          <t>ETE-10</t>
        </is>
      </c>
      <c r="B40" s="99" t="inlineStr">
        <is>
          <t>Upload Utility for Planning Fields</t>
        </is>
      </c>
      <c r="C40" s="99" t="inlineStr">
        <is>
          <t>Enhancement</t>
        </is>
      </c>
      <c r="D40" s="99" t="inlineStr">
        <is>
          <t>Supply Chain</t>
        </is>
      </c>
      <c r="E40" s="99" t="inlineStr">
        <is>
          <t>Tom Green</t>
        </is>
      </c>
      <c r="F40" s="99" t="inlineStr">
        <is>
          <t>✅ COMPLETE</t>
        </is>
      </c>
      <c r="G40" s="101" t="n">
        <v>0.1</v>
      </c>
      <c r="H40" s="99" t="inlineStr">
        <is>
          <t>Highest</t>
        </is>
      </c>
      <c r="I40" s="315" t="n"/>
      <c r="J40" s="315" t="n"/>
      <c r="K40" s="315" t="n"/>
      <c r="L40" s="99" t="inlineStr">
        <is>
          <t>Synnergie</t>
        </is>
      </c>
      <c r="M40" s="103" t="inlineStr">
        <is>
          <t>Emily Fridley</t>
        </is>
      </c>
      <c r="N40" s="103" t="inlineStr">
        <is>
          <t>Audrey Debaere</t>
        </is>
      </c>
      <c r="O40" s="103" t="n"/>
      <c r="P40" s="103" t="n"/>
      <c r="Q40" t="inlineStr">
        <is>
          <t>Alex Young</t>
        </is>
      </c>
      <c r="R40" s="99" t="inlineStr">
        <is>
          <t>S: &lt; 80 Hours</t>
        </is>
      </c>
      <c r="S40" s="99" t="n">
        <v>80</v>
      </c>
      <c r="T40" s="104" t="n"/>
      <c r="U40" s="99" t="n"/>
      <c r="V40" s="99" t="n"/>
      <c r="W40" s="99" t="n"/>
      <c r="X40" s="99" t="n"/>
      <c r="Y40" s="99" t="n"/>
      <c r="Z40" s="99" t="n"/>
      <c r="AA40" s="105" t="n"/>
      <c r="AB40" s="105" t="n"/>
      <c r="AC40" s="103" t="n"/>
      <c r="AD40" s="106">
        <f>IF(OR(ISNUMBER(SEARCH("POSTPONED",$F40)),ISNUMBER(SEARCH("NOT APPROVED",$F40))),2,IF(ISNUMBER(SEARCH("COMPLETE",$F40)),3,1))</f>
        <v/>
      </c>
    </row>
    <row r="41">
      <c r="A41" s="89" t="inlineStr">
        <is>
          <t>ETE-32</t>
        </is>
      </c>
      <c r="B41" s="89" t="inlineStr">
        <is>
          <t>Form: Cash App SQL Fix</t>
        </is>
      </c>
      <c r="C41" s="89" t="inlineStr">
        <is>
          <t>Enhancement</t>
        </is>
      </c>
      <c r="D41" s="89" t="inlineStr">
        <is>
          <t>Finance</t>
        </is>
      </c>
      <c r="E41" s="89" t="inlineStr">
        <is>
          <t>Tom Newell</t>
        </is>
      </c>
      <c r="F41" s="89" t="inlineStr">
        <is>
          <t>✅ COMPLETE</t>
        </is>
      </c>
      <c r="G41" s="91" t="n">
        <v>1</v>
      </c>
      <c r="H41" s="89" t="inlineStr">
        <is>
          <t>High</t>
        </is>
      </c>
      <c r="I41" s="314" t="n"/>
      <c r="J41" s="314" t="n"/>
      <c r="K41" s="314" t="n"/>
      <c r="L41" s="89" t="inlineStr">
        <is>
          <t>Synnergie</t>
        </is>
      </c>
      <c r="M41" s="93" t="n"/>
      <c r="N41" s="93" t="inlineStr">
        <is>
          <t>Audrey Debaere</t>
        </is>
      </c>
      <c r="O41" s="93" t="n"/>
      <c r="P41" s="93" t="n"/>
      <c r="R41" s="89" t="inlineStr">
        <is>
          <t>L: 160-320 Hours</t>
        </is>
      </c>
      <c r="S41" s="89" t="n">
        <v>320</v>
      </c>
      <c r="T41" s="107" t="n"/>
      <c r="U41" s="89" t="n"/>
      <c r="V41" s="89" t="n"/>
      <c r="W41" s="89" t="n"/>
      <c r="X41" s="89" t="n"/>
      <c r="Y41" s="89" t="n"/>
      <c r="Z41" s="89" t="n"/>
      <c r="AA41" s="96" t="n"/>
      <c r="AB41" s="96" t="n"/>
      <c r="AC41" s="93" t="n"/>
      <c r="AD41" s="108">
        <f>IF(OR(ISNUMBER(SEARCH("POSTPONED",$F41)),ISNUMBER(SEARCH("NOT APPROVED",$F41))),2,IF(ISNUMBER(SEARCH("COMPLETE",$F41)),3,1))</f>
        <v/>
      </c>
    </row>
    <row r="42">
      <c r="A42" s="111" t="inlineStr">
        <is>
          <t>ETE-76</t>
        </is>
      </c>
      <c r="B42" s="111" t="inlineStr">
        <is>
          <t>FedEx Web Services API</t>
        </is>
      </c>
      <c r="C42" s="111" t="inlineStr">
        <is>
          <t>Enhancement</t>
        </is>
      </c>
      <c r="D42" s="111" t="inlineStr">
        <is>
          <t>Information Technology</t>
        </is>
      </c>
      <c r="E42" s="111" t="inlineStr">
        <is>
          <t>Jim Koscielniak</t>
        </is>
      </c>
      <c r="F42" s="111" t="inlineStr">
        <is>
          <t>✅ COMPLETE</t>
        </is>
      </c>
      <c r="G42" s="112" t="n">
        <v>0</v>
      </c>
      <c r="H42" s="111" t="inlineStr">
        <is>
          <t>High</t>
        </is>
      </c>
      <c r="I42" s="319" t="n">
        <v>46084</v>
      </c>
      <c r="J42" s="319" t="n">
        <v>46094</v>
      </c>
      <c r="K42" s="319" t="n"/>
      <c r="L42" s="111" t="inlineStr">
        <is>
          <t>Systems Applications</t>
        </is>
      </c>
      <c r="M42" s="114" t="inlineStr">
        <is>
          <t>Emily Fridley</t>
        </is>
      </c>
      <c r="N42" s="114" t="inlineStr">
        <is>
          <t>Audrey Debaere</t>
        </is>
      </c>
      <c r="O42" s="114" t="n"/>
      <c r="P42" s="114" t="inlineStr">
        <is>
          <t>Alex Young</t>
        </is>
      </c>
      <c r="Q42" t="inlineStr">
        <is>
          <t>Alex Young</t>
        </is>
      </c>
      <c r="R42" s="111" t="inlineStr">
        <is>
          <t>S: &lt; 80 Hours</t>
        </is>
      </c>
      <c r="S42" s="111" t="n">
        <v>40</v>
      </c>
      <c r="T42" s="115" t="n"/>
      <c r="U42" s="111" t="n"/>
      <c r="V42" s="111" t="n"/>
      <c r="W42" s="111" t="n"/>
      <c r="X42" s="111" t="n"/>
      <c r="Y42" s="111" t="n"/>
      <c r="Z42" s="111" t="n"/>
      <c r="AA42" s="116" t="n"/>
      <c r="AB42" s="116" t="n"/>
      <c r="AC42" s="114" t="n"/>
      <c r="AD42" s="118">
        <f>IF(OR(ISNUMBER(SEARCH("POSTPONED",$F42)),ISNUMBER(SEARCH("NOT APPROVED",$F42))),2,IF(ISNUMBER(SEARCH("COMPLETE",$F42)),3,1))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1:AB1"/>
  </mergeCells>
  <dataValidations count="8">
    <dataValidation sqref="F43" showDropDown="0" showInputMessage="1" showErrorMessage="1" allowBlank="1" type="list">
      <formula1>"""🟢 ON TRACK,🟡 AT RISK,🔴 NEEDS ATTENTION,⚪ NOT STARTED,🔵 ON HOLD,✅ COMPLETE,📋 NEEDS TECHNICAL SPEC,📋 NEEDS FUNCTIONAL SPEC,⏳ AWAITING APPROVAL,⏸️ POSTPONED,🚫 NOT APPROVED"""</formula1>
    </dataValidation>
    <dataValidation sqref="D43" showDropDown="0" showInputMessage="1" showErrorMessage="1" allowBlank="1" type="list">
      <formula1>"""Sales &amp; Distribution,Engineering,Information Technology,Supply Chain,Finance,Human Resources,Marketing"""</formula1>
    </dataValidation>
    <dataValidation sqref="D2:D42" showDropDown="0" showInputMessage="1" showErrorMessage="1" allowBlank="1" type="list">
      <formula1>"Sales &amp; Distribution,Engineering,Information Technology,Supply Chain,Finance,Human Resources,Marketing"</formula1>
    </dataValidation>
    <dataValidation sqref="M4:M42" showDropDown="0" showInputMessage="1" showErrorMessage="1" allowBlank="1" type="list">
      <formula1>"Emily Fridley,Brett Anderson"</formula1>
    </dataValidation>
    <dataValidation sqref="N4:N42" showDropDown="0" showInputMessage="1" showErrorMessage="1" allowBlank="1" type="list">
      <formula1>"Jim Young,Audrey Debaere,Cristian Varelas,Ryan Picado"</formula1>
    </dataValidation>
    <dataValidation sqref="O4:O42" showDropDown="0" showInputMessage="1" showErrorMessage="1" allowBlank="1" type="list">
      <formula1>"Ajay Kumar,Deepak Gudwani"</formula1>
    </dataValidation>
    <dataValidation sqref="P4:P42" showDropDown="0" showInputMessage="1" showErrorMessage="1" allowBlank="1" type="list">
      <formula1>"Ravindra Reddy,Vishnu Premen,Sangamesh Koti,Bhavya Reddy,Sarath Yeturu,Vinod Bollepally,Alex Young,Nick Smith,Colin Olson,Jonathon Gonzalez,Justin Senour,Michael House,Donna Wiedemeier"</formula1>
    </dataValidation>
    <dataValidation sqref="F4:F42" showDropDown="0" showInputMessage="1" showErrorMessage="1" allowBlank="1" type="list">
      <formula1>"🟢 ON TRACK,🟡 AT RISK,🔴 NEEDS ATTENTION,⚪ NOT STARTED,🔵 ON HOLD,✅ COMPLETE,📋 NEEDS TECHNICAL SPEC,📋 NEEDS FUNCTIONAL SPEC,⏳ AWAITING APPROVAL,⏸️ POSTPONED,🚫 NOT APPROVED"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A1:K27"/>
  <sheetViews>
    <sheetView zoomScaleNormal="100" workbookViewId="0">
      <pane ySplit="3" topLeftCell="A4" activePane="bottomLeft" state="frozen"/>
      <selection pane="bottomLeft" activeCell="A13" sqref="A13"/>
    </sheetView>
  </sheetViews>
  <sheetFormatPr baseColWidth="8" defaultColWidth="8.7109375" defaultRowHeight="15" customHeight="1"/>
  <cols>
    <col width="22" customWidth="1" min="1" max="1"/>
    <col width="16" customWidth="1" min="2" max="2"/>
    <col width="22" customWidth="1" min="3" max="3"/>
    <col width="20.5703125" customWidth="1" min="4" max="5"/>
    <col width="17.7109375" customWidth="1" min="6" max="6"/>
    <col width="18" customWidth="1" min="7" max="7"/>
    <col width="24.85546875" customWidth="1" min="8" max="8"/>
    <col width="24.42578125" customWidth="1" min="9" max="9"/>
    <col width="26.28515625" customWidth="1" min="10" max="10"/>
    <col width="26.140625" customWidth="1" min="11" max="11"/>
  </cols>
  <sheetData>
    <row r="1" ht="30" customHeight="1">
      <c r="A1" s="269" t="inlineStr">
        <is>
          <t>ETE IT PMO — Team Roster &amp; Capacity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39" customHeight="1">
      <c r="A3" s="4" t="inlineStr">
        <is>
          <t>Resource</t>
        </is>
      </c>
      <c r="B3" s="4" t="inlineStr">
        <is>
          <t>Role</t>
        </is>
      </c>
      <c r="C3" s="4" t="inlineStr">
        <is>
          <t>Team</t>
        </is>
      </c>
      <c r="D3" s="5" t="inlineStr">
        <is>
          <t>Vendor</t>
        </is>
      </c>
      <c r="E3" s="6" t="inlineStr">
        <is>
          <t>Resource Classification</t>
        </is>
      </c>
      <c r="F3" s="7" t="inlineStr">
        <is>
          <t>Rate/Hour</t>
        </is>
      </c>
      <c r="G3" s="4" t="inlineStr">
        <is>
          <t>Weekly Hrs Available</t>
        </is>
      </c>
      <c r="H3" s="8" t="inlineStr">
        <is>
          <t>Support Reserve %</t>
        </is>
      </c>
      <c r="I3" s="8" t="inlineStr">
        <is>
          <t>Project Capacity %</t>
        </is>
      </c>
      <c r="J3" s="8" t="inlineStr">
        <is>
          <t>Support Reserve (hrs/wk)</t>
        </is>
      </c>
      <c r="K3" s="8" t="inlineStr">
        <is>
          <t>Project Capacity (hrs/wk)</t>
        </is>
      </c>
    </row>
    <row r="4" ht="15" customHeight="1">
      <c r="A4" s="9" t="inlineStr">
        <is>
          <t>Ajay Kumar</t>
        </is>
      </c>
      <c r="B4" s="9" t="inlineStr">
        <is>
          <t>Functional</t>
        </is>
      </c>
      <c r="C4" s="9" t="inlineStr">
        <is>
          <t>ERP</t>
        </is>
      </c>
      <c r="D4" s="10" t="inlineStr">
        <is>
          <t>Synnergie</t>
        </is>
      </c>
      <c r="E4" s="11" t="inlineStr">
        <is>
          <t>MSA</t>
        </is>
      </c>
      <c r="F4" s="12" t="n">
        <v>65</v>
      </c>
      <c r="G4" s="10" t="n">
        <v>35</v>
      </c>
      <c r="H4" s="13" t="n">
        <v>0.4</v>
      </c>
      <c r="I4" s="14">
        <f>1-H4</f>
        <v/>
      </c>
      <c r="J4" s="15">
        <f>G4*H4</f>
        <v/>
      </c>
      <c r="K4" s="15">
        <f>G4*I4</f>
        <v/>
      </c>
    </row>
    <row r="5" ht="15" customHeight="1">
      <c r="A5" s="16" t="inlineStr">
        <is>
          <t>Ravindra Reddy</t>
        </is>
      </c>
      <c r="B5" s="16" t="inlineStr">
        <is>
          <t>Technical</t>
        </is>
      </c>
      <c r="C5" s="16" t="inlineStr">
        <is>
          <t>ERP</t>
        </is>
      </c>
      <c r="D5" s="17" t="inlineStr">
        <is>
          <t>Synnergie</t>
        </is>
      </c>
      <c r="E5" s="18" t="inlineStr">
        <is>
          <t>MSA</t>
        </is>
      </c>
      <c r="F5" s="19" t="n">
        <v>65</v>
      </c>
      <c r="G5" s="17" t="n">
        <v>35</v>
      </c>
      <c r="H5" s="20" t="n">
        <v>0.4</v>
      </c>
      <c r="I5" s="21">
        <f>1-H5</f>
        <v/>
      </c>
      <c r="J5" s="22">
        <f>G5*H5</f>
        <v/>
      </c>
      <c r="K5" s="22">
        <f>G5*I5</f>
        <v/>
      </c>
    </row>
    <row r="6" ht="15" customHeight="1">
      <c r="A6" s="9" t="inlineStr">
        <is>
          <t>Vishnu Premen</t>
        </is>
      </c>
      <c r="B6" s="9" t="inlineStr">
        <is>
          <t>Technical</t>
        </is>
      </c>
      <c r="C6" s="9" t="inlineStr">
        <is>
          <t>ERP</t>
        </is>
      </c>
      <c r="D6" s="10" t="inlineStr">
        <is>
          <t>Synnergie</t>
        </is>
      </c>
      <c r="E6" s="11">
        <f>IF(D6="Synnergie","T&amp;M",IF(D6="Watermark","MSA",IF(D6="ETE","Internal","")))</f>
        <v/>
      </c>
      <c r="F6" s="12" t="n">
        <v>65</v>
      </c>
      <c r="G6" s="10" t="n">
        <v>35</v>
      </c>
      <c r="H6" s="13" t="n">
        <v>0.4</v>
      </c>
      <c r="I6" s="14">
        <f>1-H6</f>
        <v/>
      </c>
      <c r="J6" s="15">
        <f>G6*H6</f>
        <v/>
      </c>
      <c r="K6" s="15">
        <f>G6*I6</f>
        <v/>
      </c>
    </row>
    <row r="7" ht="15" customHeight="1">
      <c r="A7" s="16" t="inlineStr">
        <is>
          <t>Deepak Gudwani</t>
        </is>
      </c>
      <c r="B7" s="16" t="inlineStr">
        <is>
          <t>Functional</t>
        </is>
      </c>
      <c r="C7" s="16" t="inlineStr">
        <is>
          <t>ERP</t>
        </is>
      </c>
      <c r="D7" s="17" t="inlineStr">
        <is>
          <t>Synnergie</t>
        </is>
      </c>
      <c r="E7" s="18">
        <f>IF(D7="Synnergie","T&amp;M",IF(D7="Watermark","MSA",IF(D7="ETE","Internal","")))</f>
        <v/>
      </c>
      <c r="F7" s="19" t="n">
        <v>65</v>
      </c>
      <c r="G7" s="17" t="n">
        <v>35</v>
      </c>
      <c r="H7" s="20" t="n">
        <v>0.4</v>
      </c>
      <c r="I7" s="21">
        <f>1-H7</f>
        <v/>
      </c>
      <c r="J7" s="22">
        <f>G7*H7</f>
        <v/>
      </c>
      <c r="K7" s="22">
        <f>G7*I7</f>
        <v/>
      </c>
    </row>
    <row r="8" ht="15" customHeight="1">
      <c r="A8" s="9" t="inlineStr">
        <is>
          <t>Sangamesh Koti</t>
        </is>
      </c>
      <c r="B8" s="9" t="inlineStr">
        <is>
          <t>Technical</t>
        </is>
      </c>
      <c r="C8" s="9" t="inlineStr">
        <is>
          <t>ERP</t>
        </is>
      </c>
      <c r="D8" s="10" t="inlineStr">
        <is>
          <t>Synnergie</t>
        </is>
      </c>
      <c r="E8" s="11" t="inlineStr">
        <is>
          <t>T&amp;M</t>
        </is>
      </c>
      <c r="F8" s="12" t="n">
        <v>65</v>
      </c>
      <c r="G8" s="10" t="n">
        <v>35</v>
      </c>
      <c r="H8" s="13" t="n">
        <v>0</v>
      </c>
      <c r="I8" s="14">
        <f>1-H8</f>
        <v/>
      </c>
      <c r="J8" s="15">
        <f>G8*H8</f>
        <v/>
      </c>
      <c r="K8" s="15">
        <f>G8*I8</f>
        <v/>
      </c>
    </row>
    <row r="9" ht="15" customHeight="1">
      <c r="A9" s="16" t="inlineStr">
        <is>
          <t>Bhavya Reddy</t>
        </is>
      </c>
      <c r="B9" s="16" t="inlineStr">
        <is>
          <t>Technical</t>
        </is>
      </c>
      <c r="C9" s="16" t="inlineStr">
        <is>
          <t>ERP</t>
        </is>
      </c>
      <c r="D9" s="17" t="inlineStr">
        <is>
          <t>Synnergie</t>
        </is>
      </c>
      <c r="E9" s="18">
        <f>IF(D9="Synnergie","T&amp;M",IF(D9="Watermark","MSA",IF(D9="ETE","Internal","")))</f>
        <v/>
      </c>
      <c r="F9" s="19" t="n">
        <v>65</v>
      </c>
      <c r="G9" s="17" t="n">
        <v>35</v>
      </c>
      <c r="H9" s="20" t="n">
        <v>0</v>
      </c>
      <c r="I9" s="21">
        <f>1-H9</f>
        <v/>
      </c>
      <c r="J9" s="22">
        <f>G9*H9</f>
        <v/>
      </c>
      <c r="K9" s="22">
        <f>G9*I9</f>
        <v/>
      </c>
    </row>
    <row r="10" ht="15" customHeight="1">
      <c r="A10" s="9" t="inlineStr">
        <is>
          <t>Sarath Yeturu</t>
        </is>
      </c>
      <c r="B10" s="9" t="inlineStr">
        <is>
          <t>Technical</t>
        </is>
      </c>
      <c r="C10" s="9" t="inlineStr">
        <is>
          <t>ERP</t>
        </is>
      </c>
      <c r="D10" s="10" t="inlineStr">
        <is>
          <t>Synnergie</t>
        </is>
      </c>
      <c r="E10" s="11" t="inlineStr">
        <is>
          <t>MSA</t>
        </is>
      </c>
      <c r="F10" s="12" t="n">
        <v>65</v>
      </c>
      <c r="G10" s="10" t="n">
        <v>35</v>
      </c>
      <c r="H10" s="13" t="n">
        <v>0.6</v>
      </c>
      <c r="I10" s="14">
        <f>1-H10</f>
        <v/>
      </c>
      <c r="J10" s="15">
        <f>G10*H10</f>
        <v/>
      </c>
      <c r="K10" s="15">
        <f>G10*I10</f>
        <v/>
      </c>
    </row>
    <row r="11" ht="15" customHeight="1">
      <c r="A11" s="16" t="inlineStr">
        <is>
          <t>Vinod Bollepally</t>
        </is>
      </c>
      <c r="B11" s="16" t="inlineStr">
        <is>
          <t>DBA</t>
        </is>
      </c>
      <c r="C11" s="16" t="inlineStr">
        <is>
          <t>ERP</t>
        </is>
      </c>
      <c r="D11" s="17" t="inlineStr">
        <is>
          <t>Synnergie</t>
        </is>
      </c>
      <c r="E11" s="18" t="inlineStr">
        <is>
          <t>MSA</t>
        </is>
      </c>
      <c r="F11" s="19" t="n">
        <v>65</v>
      </c>
      <c r="G11" s="17" t="n">
        <v>35</v>
      </c>
      <c r="H11" s="20" t="n">
        <v>0.8</v>
      </c>
      <c r="I11" s="21">
        <f>1-H11</f>
        <v/>
      </c>
      <c r="J11" s="22">
        <f>G11*H11</f>
        <v/>
      </c>
      <c r="K11" s="22">
        <f>G11*I11</f>
        <v/>
      </c>
    </row>
    <row r="12" ht="15" customHeight="1">
      <c r="A12" s="9" t="inlineStr">
        <is>
          <t>Jim Young</t>
        </is>
      </c>
      <c r="B12" s="9" t="inlineStr">
        <is>
          <t>Business Analyst</t>
        </is>
      </c>
      <c r="C12" s="9" t="inlineStr">
        <is>
          <t>Business Analysts</t>
        </is>
      </c>
      <c r="D12" s="10" t="inlineStr">
        <is>
          <t>ETE</t>
        </is>
      </c>
      <c r="E12" s="11">
        <f>IF(D12="Synnergie","T&amp;M",IF(D12="Watermark","MSA",IF(D12="ETE","Internal","")))</f>
        <v/>
      </c>
      <c r="F12" s="12" t="n">
        <v>65</v>
      </c>
      <c r="G12" s="10" t="n">
        <v>40</v>
      </c>
      <c r="H12" s="13" t="n">
        <v>0.6</v>
      </c>
      <c r="I12" s="14">
        <f>1-H12</f>
        <v/>
      </c>
      <c r="J12" s="15">
        <f>G12*H12</f>
        <v/>
      </c>
      <c r="K12" s="15">
        <f>G12*I12</f>
        <v/>
      </c>
    </row>
    <row r="13" ht="15" customHeight="1">
      <c r="A13" s="16" t="inlineStr">
        <is>
          <t>Alex Young</t>
        </is>
      </c>
      <c r="B13" s="16" t="inlineStr">
        <is>
          <t>Developer</t>
        </is>
      </c>
      <c r="C13" s="16" t="inlineStr">
        <is>
          <t>Systems Applications</t>
        </is>
      </c>
      <c r="D13" s="17" t="inlineStr">
        <is>
          <t>ETE</t>
        </is>
      </c>
      <c r="E13" s="18">
        <f>IF(D13="Synnergie","T&amp;M",IF(D13="Watermark","MSA",IF(D13="ETE","Internal","")))</f>
        <v/>
      </c>
      <c r="F13" s="19" t="n">
        <v>65</v>
      </c>
      <c r="G13" s="17" t="n">
        <v>25</v>
      </c>
      <c r="H13" s="20" t="n">
        <v>0.5</v>
      </c>
      <c r="I13" s="21">
        <f>1-H13</f>
        <v/>
      </c>
      <c r="J13" s="22">
        <f>G13*H13</f>
        <v/>
      </c>
      <c r="K13" s="22">
        <f>G13*I13</f>
        <v/>
      </c>
    </row>
    <row r="14" ht="15" customHeight="1">
      <c r="A14" s="9" t="inlineStr">
        <is>
          <t>Nick Smith</t>
        </is>
      </c>
      <c r="B14" s="9" t="inlineStr">
        <is>
          <t>Developer</t>
        </is>
      </c>
      <c r="C14" s="9" t="inlineStr">
        <is>
          <t>Systems Applications</t>
        </is>
      </c>
      <c r="D14" s="10" t="inlineStr">
        <is>
          <t>ETE</t>
        </is>
      </c>
      <c r="E14" s="11">
        <f>IF(D14="Synnergie","T&amp;M",IF(D14="Watermark","MSA",IF(D14="ETE","Internal","")))</f>
        <v/>
      </c>
      <c r="F14" s="12" t="n">
        <v>65</v>
      </c>
      <c r="G14" s="10" t="n">
        <v>25</v>
      </c>
      <c r="H14" s="13" t="n">
        <v>0.4</v>
      </c>
      <c r="I14" s="14">
        <f>1-H14</f>
        <v/>
      </c>
      <c r="J14" s="15">
        <f>G14*H14</f>
        <v/>
      </c>
      <c r="K14" s="15">
        <f>G14*I14</f>
        <v/>
      </c>
    </row>
    <row r="15" ht="15" customHeight="1">
      <c r="A15" s="16" t="inlineStr">
        <is>
          <t>Colin Olson</t>
        </is>
      </c>
      <c r="B15" s="16" t="inlineStr">
        <is>
          <t>Developer</t>
        </is>
      </c>
      <c r="C15" s="16" t="inlineStr">
        <is>
          <t>Systems Applications</t>
        </is>
      </c>
      <c r="D15" s="17" t="inlineStr">
        <is>
          <t>ETE</t>
        </is>
      </c>
      <c r="E15" s="18">
        <f>IF(D15="Synnergie","T&amp;M",IF(D15="Watermark","MSA",IF(D15="ETE","Internal","")))</f>
        <v/>
      </c>
      <c r="F15" s="19" t="n">
        <v>65</v>
      </c>
      <c r="G15" s="17" t="n">
        <v>25</v>
      </c>
      <c r="H15" s="20" t="n">
        <v>0.1</v>
      </c>
      <c r="I15" s="21">
        <f>1-H15</f>
        <v/>
      </c>
      <c r="J15" s="22">
        <f>G15*H15</f>
        <v/>
      </c>
      <c r="K15" s="22">
        <f>G15*I15</f>
        <v/>
      </c>
    </row>
    <row r="16" ht="15" customHeight="1">
      <c r="A16" s="9" t="inlineStr">
        <is>
          <t>Jonathon Gonzalez</t>
        </is>
      </c>
      <c r="B16" s="9" t="inlineStr">
        <is>
          <t>Developer</t>
        </is>
      </c>
      <c r="C16" s="9" t="inlineStr">
        <is>
          <t>Systems Applications</t>
        </is>
      </c>
      <c r="D16" s="10" t="inlineStr">
        <is>
          <t>ETE</t>
        </is>
      </c>
      <c r="E16" s="11">
        <f>IF(D16="Synnergie","T&amp;M",IF(D16="Watermark","MSA",IF(D16="ETE","Internal","")))</f>
        <v/>
      </c>
      <c r="F16" s="12" t="n">
        <v>65</v>
      </c>
      <c r="G16" s="10" t="n">
        <v>25</v>
      </c>
      <c r="H16" s="13" t="n">
        <v>0.25</v>
      </c>
      <c r="I16" s="14">
        <f>1-H16</f>
        <v/>
      </c>
      <c r="J16" s="15">
        <f>G16*H16</f>
        <v/>
      </c>
      <c r="K16" s="15">
        <f>G16*I16</f>
        <v/>
      </c>
    </row>
    <row r="17" ht="15" customHeight="1">
      <c r="A17" s="16" t="inlineStr">
        <is>
          <t>Audrey Debaere</t>
        </is>
      </c>
      <c r="B17" s="16" t="inlineStr">
        <is>
          <t>Business Analyst</t>
        </is>
      </c>
      <c r="C17" s="16" t="inlineStr">
        <is>
          <t>Business Analysts</t>
        </is>
      </c>
      <c r="D17" s="17" t="inlineStr">
        <is>
          <t>ETE</t>
        </is>
      </c>
      <c r="E17" s="18">
        <f>IF(D17="Synnergie","T&amp;M",IF(D17="Watermark","MSA",IF(D17="ETE","Internal","")))</f>
        <v/>
      </c>
      <c r="F17" s="19" t="n">
        <v>65</v>
      </c>
      <c r="G17" s="17" t="n">
        <v>35</v>
      </c>
      <c r="H17" s="20" t="n">
        <v>0.5</v>
      </c>
      <c r="I17" s="21">
        <f>1-H17</f>
        <v/>
      </c>
      <c r="J17" s="22">
        <f>G17*H17</f>
        <v/>
      </c>
      <c r="K17" s="22">
        <f>G17*I17</f>
        <v/>
      </c>
    </row>
    <row r="18" ht="15" customHeight="1">
      <c r="A18" s="9" t="inlineStr">
        <is>
          <t>Cristian Varelas</t>
        </is>
      </c>
      <c r="B18" s="9" t="inlineStr">
        <is>
          <t>Business Analyst</t>
        </is>
      </c>
      <c r="C18" s="16" t="inlineStr">
        <is>
          <t>Business Analysts</t>
        </is>
      </c>
      <c r="D18" s="10" t="inlineStr">
        <is>
          <t>ETE</t>
        </is>
      </c>
      <c r="E18" s="11">
        <f>IF(D18="Synnergie","T&amp;M",IF(D18="Watermark","MSA",IF(D18="ETE","Internal","")))</f>
        <v/>
      </c>
      <c r="F18" s="12" t="n">
        <v>65</v>
      </c>
      <c r="G18" s="10" t="n">
        <v>35</v>
      </c>
      <c r="H18" s="13" t="n">
        <v>0.2</v>
      </c>
      <c r="I18" s="14">
        <f>1-H18</f>
        <v/>
      </c>
      <c r="J18" s="15">
        <f>G18*H18</f>
        <v/>
      </c>
      <c r="K18" s="15">
        <f>G18*I18</f>
        <v/>
      </c>
    </row>
    <row r="19" ht="15" customHeight="1">
      <c r="A19" s="16" t="inlineStr">
        <is>
          <t>Ryan Picado</t>
        </is>
      </c>
      <c r="B19" s="16" t="inlineStr">
        <is>
          <t>Business Analyst</t>
        </is>
      </c>
      <c r="C19" s="16" t="inlineStr">
        <is>
          <t>Business Analysts</t>
        </is>
      </c>
      <c r="D19" s="17" t="inlineStr">
        <is>
          <t>ETE</t>
        </is>
      </c>
      <c r="E19" s="18">
        <f>IF(D19="Synnergie","T&amp;M",IF(D19="Watermark","MSA",IF(D19="ETE","Internal","")))</f>
        <v/>
      </c>
      <c r="F19" s="19" t="n">
        <v>65</v>
      </c>
      <c r="G19" s="17" t="n">
        <v>35</v>
      </c>
      <c r="H19" s="20" t="n">
        <v>0.5</v>
      </c>
      <c r="I19" s="21">
        <f>1-H19</f>
        <v/>
      </c>
      <c r="J19" s="22">
        <f>G19*H19</f>
        <v/>
      </c>
      <c r="K19" s="22">
        <f>G19*I19</f>
        <v/>
      </c>
    </row>
    <row r="20" ht="15" customHeight="1">
      <c r="A20" s="9" t="inlineStr">
        <is>
          <t>Emily Fridley</t>
        </is>
      </c>
      <c r="B20" s="9" t="inlineStr">
        <is>
          <t>Project Manager</t>
        </is>
      </c>
      <c r="C20" s="9" t="inlineStr">
        <is>
          <t>PMO</t>
        </is>
      </c>
      <c r="D20" s="10" t="inlineStr">
        <is>
          <t>ETE</t>
        </is>
      </c>
      <c r="E20" s="11">
        <f>IF(D20="Synnergie","T&amp;M",IF(D20="Watermark","MSA",IF(D20="ETE","Internal","")))</f>
        <v/>
      </c>
      <c r="F20" s="12" t="n">
        <v>65</v>
      </c>
      <c r="G20" s="10" t="n">
        <v>35</v>
      </c>
      <c r="H20" s="13" t="n">
        <v>0.5</v>
      </c>
      <c r="I20" s="14">
        <f>1-H20</f>
        <v/>
      </c>
      <c r="J20" s="15">
        <f>G20*H20</f>
        <v/>
      </c>
      <c r="K20" s="15">
        <f>G20*I20</f>
        <v/>
      </c>
    </row>
    <row r="21" ht="15" customHeight="1">
      <c r="A21" s="16" t="inlineStr">
        <is>
          <t>Brett Anderson</t>
        </is>
      </c>
      <c r="B21" s="16" t="inlineStr">
        <is>
          <t>Project Manager</t>
        </is>
      </c>
      <c r="C21" s="16" t="inlineStr">
        <is>
          <t>PMO</t>
        </is>
      </c>
      <c r="D21" s="17" t="inlineStr">
        <is>
          <t>ETE</t>
        </is>
      </c>
      <c r="E21" s="18">
        <f>IF(D21="Synnergie","T&amp;M",IF(D21="Watermark","MSA",IF(D21="ETE","Internal","")))</f>
        <v/>
      </c>
      <c r="F21" s="19" t="n">
        <v>65</v>
      </c>
      <c r="G21" s="17" t="n">
        <v>35</v>
      </c>
      <c r="H21" s="20" t="n">
        <v>0.25</v>
      </c>
      <c r="I21" s="21">
        <f>1-H21</f>
        <v/>
      </c>
      <c r="J21" s="22">
        <f>G21*H21</f>
        <v/>
      </c>
      <c r="K21" s="22">
        <f>G21*I21</f>
        <v/>
      </c>
    </row>
    <row r="22" ht="15" customHeight="1">
      <c r="A22" s="16" t="inlineStr">
        <is>
          <t>Bettina Kotico</t>
        </is>
      </c>
      <c r="B22" s="16" t="inlineStr">
        <is>
          <t>Project Manager</t>
        </is>
      </c>
      <c r="C22" s="16" t="inlineStr">
        <is>
          <t>PMO</t>
        </is>
      </c>
      <c r="D22" s="17" t="inlineStr">
        <is>
          <t>Kayana</t>
        </is>
      </c>
      <c r="E22" s="18" t="inlineStr">
        <is>
          <t>T&amp;M</t>
        </is>
      </c>
      <c r="F22" s="19" t="n">
        <v>65</v>
      </c>
      <c r="G22" s="17" t="n">
        <v>32</v>
      </c>
      <c r="H22" s="20" t="n">
        <v>0.68</v>
      </c>
      <c r="I22" s="21">
        <f>1-H22</f>
        <v/>
      </c>
      <c r="J22" s="22">
        <f>G22*H22</f>
        <v/>
      </c>
      <c r="K22" s="22">
        <f>G22*I22</f>
        <v/>
      </c>
    </row>
    <row r="23" ht="15" customHeight="1">
      <c r="A23" s="9" t="inlineStr">
        <is>
          <t>Donna Wiedemeier</t>
        </is>
      </c>
      <c r="B23" s="9" t="inlineStr">
        <is>
          <t>WMS Consultant</t>
        </is>
      </c>
      <c r="C23" s="9" t="inlineStr">
        <is>
          <t>WMS</t>
        </is>
      </c>
      <c r="D23" s="10" t="inlineStr">
        <is>
          <t>Watermark</t>
        </is>
      </c>
      <c r="E23" s="11" t="inlineStr">
        <is>
          <t>T&amp;M</t>
        </is>
      </c>
      <c r="F23" s="12" t="n">
        <v>65</v>
      </c>
      <c r="G23" s="10" t="n">
        <v>35</v>
      </c>
      <c r="H23" s="13" t="n">
        <v>0.6</v>
      </c>
      <c r="I23" s="14">
        <f>1-H23</f>
        <v/>
      </c>
      <c r="J23" s="15">
        <f>G23*H23</f>
        <v/>
      </c>
      <c r="K23" s="15">
        <f>G23*I23</f>
        <v/>
      </c>
    </row>
    <row r="24" ht="15" customHeight="1">
      <c r="A24" s="16" t="inlineStr">
        <is>
          <t>Justin Senour</t>
        </is>
      </c>
      <c r="B24" s="16" t="inlineStr">
        <is>
          <t>Infrastructure</t>
        </is>
      </c>
      <c r="C24" s="16" t="inlineStr">
        <is>
          <t>Infrastructure</t>
        </is>
      </c>
      <c r="D24" s="17" t="inlineStr">
        <is>
          <t>ETE</t>
        </is>
      </c>
      <c r="E24" s="18">
        <f>IF(D24="Synnergie","T&amp;M",IF(D24="Watermark","MSA",IF(D24="ETE","Internal","")))</f>
        <v/>
      </c>
      <c r="F24" s="19" t="n">
        <v>65</v>
      </c>
      <c r="G24" s="17" t="n">
        <v>40</v>
      </c>
      <c r="H24" s="20" t="n">
        <v>0.6</v>
      </c>
      <c r="I24" s="21">
        <f>1-H24</f>
        <v/>
      </c>
      <c r="J24" s="22">
        <f>G24*H24</f>
        <v/>
      </c>
      <c r="K24" s="22">
        <f>G24*I24</f>
        <v/>
      </c>
    </row>
    <row r="25" ht="15" customHeight="1">
      <c r="A25" s="9" t="inlineStr">
        <is>
          <t>Michael House</t>
        </is>
      </c>
      <c r="B25" s="9" t="inlineStr">
        <is>
          <t>Infrastructure</t>
        </is>
      </c>
      <c r="C25" s="9" t="inlineStr">
        <is>
          <t>Infrastructure</t>
        </is>
      </c>
      <c r="D25" s="10" t="inlineStr">
        <is>
          <t>ETE</t>
        </is>
      </c>
      <c r="E25" s="11">
        <f>IF(D25="Synnergie","T&amp;M",IF(D25="Watermark","MSA",IF(D25="ETE","Internal","")))</f>
        <v/>
      </c>
      <c r="F25" s="12" t="n">
        <v>65</v>
      </c>
      <c r="G25" s="10" t="n">
        <v>40</v>
      </c>
      <c r="H25" s="13" t="n">
        <v>0.6</v>
      </c>
      <c r="I25" s="14">
        <f>1-H25</f>
        <v/>
      </c>
      <c r="J25" s="15">
        <f>G25*H25</f>
        <v/>
      </c>
      <c r="K25" s="15">
        <f>G25*I25</f>
        <v/>
      </c>
    </row>
    <row r="26" ht="15" customHeight="1">
      <c r="A26" s="9" t="inlineStr">
        <is>
          <t>Andrew Shaefer</t>
        </is>
      </c>
      <c r="B26" s="9" t="inlineStr">
        <is>
          <t>Infrastructure</t>
        </is>
      </c>
      <c r="C26" s="9" t="inlineStr">
        <is>
          <t>Infrastructure</t>
        </is>
      </c>
      <c r="D26" s="10" t="inlineStr">
        <is>
          <t>ETE</t>
        </is>
      </c>
      <c r="E26" s="18">
        <f>IF(D26="Synnergie","T&amp;M",IF(D26="Watermark","MSA",IF(D26="ETE","Internal","")))</f>
        <v/>
      </c>
      <c r="F26" s="12" t="n">
        <v>65</v>
      </c>
      <c r="G26" s="10" t="n">
        <v>40</v>
      </c>
      <c r="H26" s="23" t="n">
        <v>0.6</v>
      </c>
      <c r="I26" s="14">
        <f>1-H26</f>
        <v/>
      </c>
      <c r="J26" s="15">
        <f>G26*H26</f>
        <v/>
      </c>
      <c r="K26" s="15">
        <f>G26*I26</f>
        <v/>
      </c>
    </row>
    <row r="27" ht="15" customHeight="1">
      <c r="A27" s="9" t="inlineStr">
        <is>
          <t>TOTALS</t>
        </is>
      </c>
      <c r="B27" s="9" t="n"/>
      <c r="C27" s="9" t="n"/>
      <c r="D27" s="9" t="n"/>
      <c r="E27" s="24" t="n"/>
      <c r="F27" s="9" t="n"/>
      <c r="G27" s="10">
        <f>SUM(G4:G26)</f>
        <v/>
      </c>
      <c r="H27" s="25">
        <f>IF(G27&gt;0,J27/G27,0)</f>
        <v/>
      </c>
      <c r="I27" s="25">
        <f>IF(G27&gt;0,K27/G27,0)</f>
        <v/>
      </c>
      <c r="J27" s="26">
        <f>SUM(J4:J26)</f>
        <v/>
      </c>
      <c r="K27" s="26">
        <f>SUM(K4:K26)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/>
  <autoFilter ref="A3:K27"/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2" workbookViewId="0">
      <selection activeCell="A1" sqref="A1"/>
    </sheetView>
  </sheetViews>
  <sheetFormatPr baseColWidth="8" defaultRowHeight="15"/>
  <cols>
    <col width="41.85546875" customWidth="1" min="1" max="1"/>
    <col width="17.140625" customWidth="1" min="2" max="3"/>
    <col width="21" customWidth="1" min="4" max="4"/>
    <col width="34.28515625" customWidth="1" min="5" max="5"/>
    <col width="13.28515625" customWidth="1" min="6" max="6"/>
    <col width="21" customWidth="1" min="7" max="7"/>
    <col width="15.28515625" customWidth="1" min="8" max="8"/>
  </cols>
  <sheetData>
    <row r="1" ht="18.75" customHeight="1">
      <c r="A1" s="174" t="inlineStr">
        <is>
          <t>ETE IT PMO — Resource Model Assumptions</t>
        </is>
      </c>
    </row>
    <row r="2">
      <c r="A2" s="175" t="inlineStr">
        <is>
          <t>All blue inputs are configurable. Change values to run scenarios.</t>
        </is>
      </c>
    </row>
    <row r="4">
      <c r="A4" s="177" t="inlineStr">
        <is>
          <t>TIME ALLOCATION MODEL</t>
        </is>
      </c>
      <c r="B4" s="178" t="n"/>
      <c r="C4" s="178" t="n"/>
      <c r="D4" s="178" t="n"/>
    </row>
    <row r="5">
      <c r="A5" s="179" t="inlineStr">
        <is>
          <t>Parameter</t>
        </is>
      </c>
      <c r="B5" s="179" t="inlineStr">
        <is>
          <t>Value</t>
        </is>
      </c>
      <c r="C5" s="179" t="inlineStr">
        <is>
          <t>Unit</t>
        </is>
      </c>
      <c r="D5" s="179" t="inlineStr">
        <is>
          <t>Notes</t>
        </is>
      </c>
    </row>
    <row r="6">
      <c r="A6" t="inlineStr">
        <is>
          <t>Base Hours / Week</t>
        </is>
      </c>
      <c r="B6" s="181" t="n">
        <v>40</v>
      </c>
      <c r="C6" t="inlineStr">
        <is>
          <t>hrs</t>
        </is>
      </c>
      <c r="D6" t="inlineStr">
        <is>
          <t>Standard work week</t>
        </is>
      </c>
    </row>
    <row r="7">
      <c r="A7" t="inlineStr">
        <is>
          <t>Admin Allocation</t>
        </is>
      </c>
      <c r="B7" s="182" t="n">
        <v>0.1</v>
      </c>
      <c r="C7" t="inlineStr">
        <is>
          <t>%</t>
        </is>
      </c>
      <c r="D7" t="inlineStr">
        <is>
          <t>Meetings, email, admin tasks</t>
        </is>
      </c>
    </row>
    <row r="8">
      <c r="A8" t="inlineStr">
        <is>
          <t>Break/Fix Allocation</t>
        </is>
      </c>
      <c r="B8" s="182" t="n">
        <v>0.1</v>
      </c>
      <c r="C8" t="inlineStr">
        <is>
          <t>%</t>
        </is>
      </c>
      <c r="D8" t="inlineStr">
        <is>
          <t>Support tickets, break/fix work</t>
        </is>
      </c>
    </row>
    <row r="9">
      <c r="A9" t="inlineStr">
        <is>
          <t>Project Allocation</t>
        </is>
      </c>
      <c r="B9" s="182" t="n">
        <v>0.8</v>
      </c>
      <c r="C9" t="inlineStr">
        <is>
          <t>%</t>
        </is>
      </c>
      <c r="D9" t="inlineStr">
        <is>
          <t>Time available for project work</t>
        </is>
      </c>
    </row>
    <row r="10">
      <c r="A10" s="183" t="inlineStr">
        <is>
          <t>Available Project Hrs / Person / Wk</t>
        </is>
      </c>
      <c r="B10" s="183">
        <f>B6*B9</f>
        <v/>
      </c>
      <c r="C10" s="184" t="inlineStr">
        <is>
          <t>hrs</t>
        </is>
      </c>
      <c r="D10" s="184" t="inlineStr">
        <is>
          <t>Base Hrs × Project %</t>
        </is>
      </c>
    </row>
    <row r="11">
      <c r="A11" s="186" t="inlineStr">
        <is>
          <t>Allocation Check (must = 100%)</t>
        </is>
      </c>
      <c r="B11" s="185">
        <f>B7+B8+B9</f>
        <v/>
      </c>
    </row>
    <row r="12">
      <c r="A12" t="inlineStr">
        <is>
          <t>Max Projects / Person</t>
        </is>
      </c>
      <c r="B12" s="181" t="n">
        <v>3</v>
      </c>
      <c r="C12" t="inlineStr">
        <is>
          <t>projects</t>
        </is>
      </c>
      <c r="D12" t="inlineStr">
        <is>
          <t>Constraint: no one on more than 3</t>
        </is>
      </c>
    </row>
    <row r="14">
      <c r="A14" s="177" t="inlineStr">
        <is>
          <t>SDLC PHASE WEIGHTS</t>
        </is>
      </c>
      <c r="B14" s="178" t="n"/>
      <c r="C14" s="178" t="n"/>
      <c r="D14" s="178" t="n"/>
      <c r="E14" s="178" t="n"/>
      <c r="F14" s="178" t="n"/>
      <c r="G14" s="178" t="n"/>
      <c r="H14" s="178" t="n"/>
    </row>
    <row r="15">
      <c r="A15" s="179" t="n"/>
      <c r="B15" s="179" t="inlineStr">
        <is>
          <t>Discovery</t>
        </is>
      </c>
      <c r="C15" s="179" t="inlineStr">
        <is>
          <t>Planning</t>
        </is>
      </c>
      <c r="D15" s="179" t="inlineStr">
        <is>
          <t>Design</t>
        </is>
      </c>
      <c r="E15" s="179" t="inlineStr">
        <is>
          <t>Build</t>
        </is>
      </c>
      <c r="F15" s="179" t="inlineStr">
        <is>
          <t>Test</t>
        </is>
      </c>
      <c r="G15" s="179" t="inlineStr">
        <is>
          <t>Deploy/Hypercare</t>
        </is>
      </c>
      <c r="H15" s="179" t="inlineStr">
        <is>
          <t>Total</t>
        </is>
      </c>
    </row>
    <row r="16">
      <c r="A16" s="176" t="inlineStr">
        <is>
          <t>% of Project Effort</t>
        </is>
      </c>
      <c r="B16" s="182" t="n">
        <v>0.1</v>
      </c>
      <c r="C16" s="182" t="n">
        <v>0.1</v>
      </c>
      <c r="D16" s="182" t="n">
        <v>0.15</v>
      </c>
      <c r="E16" s="182" t="n">
        <v>0.3</v>
      </c>
      <c r="F16" s="182" t="n">
        <v>0.2</v>
      </c>
      <c r="G16" s="182" t="n">
        <v>0.15</v>
      </c>
      <c r="H16" s="187">
        <f>SUM(B16:G16)</f>
        <v/>
      </c>
    </row>
    <row r="18">
      <c r="A18" s="177" t="inlineStr">
        <is>
          <t>ROLE EFFORT BY SDLC PHASE</t>
        </is>
      </c>
      <c r="B18" s="178" t="n"/>
      <c r="C18" s="178" t="n"/>
      <c r="D18" s="178" t="n"/>
      <c r="E18" s="178" t="n"/>
      <c r="F18" s="178" t="n"/>
      <c r="G18" s="178" t="n"/>
      <c r="H18" s="178" t="n"/>
    </row>
    <row r="19">
      <c r="A19" s="175" t="inlineStr">
        <is>
          <t>% of phase effort per role (rows don't need to sum to 100% — each role works a share of each phase independently)</t>
        </is>
      </c>
    </row>
    <row r="20">
      <c r="A20" s="179" t="inlineStr">
        <is>
          <t>Role</t>
        </is>
      </c>
      <c r="B20" s="179" t="inlineStr">
        <is>
          <t>Discovery</t>
        </is>
      </c>
      <c r="C20" s="179" t="inlineStr">
        <is>
          <t>Planning</t>
        </is>
      </c>
      <c r="D20" s="179" t="inlineStr">
        <is>
          <t>Design</t>
        </is>
      </c>
      <c r="E20" s="179" t="inlineStr">
        <is>
          <t>Build</t>
        </is>
      </c>
      <c r="F20" s="179" t="inlineStr">
        <is>
          <t>Test</t>
        </is>
      </c>
      <c r="G20" s="179" t="inlineStr">
        <is>
          <t>Deploy/Hypercare</t>
        </is>
      </c>
      <c r="H20" s="179" t="inlineStr">
        <is>
          <t>Avg Effort</t>
        </is>
      </c>
    </row>
    <row r="21">
      <c r="A21" t="inlineStr">
        <is>
          <t>PM</t>
        </is>
      </c>
      <c r="B21" s="189" t="n">
        <v>0.1</v>
      </c>
      <c r="C21" s="189" t="n">
        <v>0.25</v>
      </c>
      <c r="D21" s="189" t="n">
        <v>0.15</v>
      </c>
      <c r="E21" s="189" t="n">
        <v>0.2</v>
      </c>
      <c r="F21" s="189" t="n">
        <v>0.2</v>
      </c>
      <c r="G21" s="189" t="n">
        <v>0.1</v>
      </c>
      <c r="H21" s="190">
        <f>SUMPRODUCT(B21:G21,B$16:G$16)</f>
        <v/>
      </c>
    </row>
    <row r="22">
      <c r="A22" t="inlineStr">
        <is>
          <t>DBA</t>
        </is>
      </c>
      <c r="B22" s="189" t="n">
        <v>0.05</v>
      </c>
      <c r="C22" s="189" t="n">
        <v>0.1</v>
      </c>
      <c r="D22" s="189" t="n">
        <v>0.3</v>
      </c>
      <c r="E22" s="189" t="n">
        <v>0.25</v>
      </c>
      <c r="F22" s="189" t="n">
        <v>0.2</v>
      </c>
      <c r="G22" s="189" t="n">
        <v>0.1</v>
      </c>
      <c r="H22" s="190">
        <f>SUMPRODUCT(B22:G22,B$16:G$16)</f>
        <v/>
      </c>
    </row>
    <row r="23">
      <c r="A23" t="inlineStr">
        <is>
          <t>IT Business Analyst/SME</t>
        </is>
      </c>
      <c r="B23" s="189" t="n">
        <v>0.3</v>
      </c>
      <c r="C23" s="189" t="n">
        <v>0.2</v>
      </c>
      <c r="D23" s="189" t="n">
        <v>0.2</v>
      </c>
      <c r="E23" s="189" t="n">
        <v>0.1</v>
      </c>
      <c r="F23" s="189" t="n">
        <v>0.15</v>
      </c>
      <c r="G23" s="189" t="n">
        <v>0.05</v>
      </c>
      <c r="H23" s="190">
        <f>SUMPRODUCT(B23:G23,B$16:G$16)</f>
        <v/>
      </c>
    </row>
    <row r="24">
      <c r="A24" t="inlineStr">
        <is>
          <t>IT Functional Analyst</t>
        </is>
      </c>
      <c r="B24" s="189" t="n">
        <v>0.2</v>
      </c>
      <c r="C24" s="189" t="n">
        <v>0.1</v>
      </c>
      <c r="D24" s="189" t="n">
        <v>0.3</v>
      </c>
      <c r="E24" s="189" t="n">
        <v>0.15</v>
      </c>
      <c r="F24" s="189" t="n">
        <v>0.15</v>
      </c>
      <c r="G24" s="189" t="n">
        <v>0.1</v>
      </c>
      <c r="H24" s="190">
        <f>SUMPRODUCT(B24:G24,B$16:G$16)</f>
        <v/>
      </c>
    </row>
    <row r="25">
      <c r="A25" t="inlineStr">
        <is>
          <t>IT Tech Analyst/Developer</t>
        </is>
      </c>
      <c r="B25" s="189" t="n">
        <v>0.05</v>
      </c>
      <c r="C25" s="189" t="n">
        <v>0.1</v>
      </c>
      <c r="D25" s="189" t="n">
        <v>0.2</v>
      </c>
      <c r="E25" s="189" t="n">
        <v>0.4</v>
      </c>
      <c r="F25" s="189" t="n">
        <v>0.15</v>
      </c>
      <c r="G25" s="189" t="n">
        <v>0.1</v>
      </c>
      <c r="H25" s="190">
        <f>SUMPRODUCT(B25:G25,B$16:G$16)</f>
        <v/>
      </c>
    </row>
    <row r="26">
      <c r="A26" t="inlineStr">
        <is>
          <t>Developer</t>
        </is>
      </c>
      <c r="B26" s="189" t="n">
        <v>0</v>
      </c>
      <c r="C26" s="189" t="n">
        <v>0.05</v>
      </c>
      <c r="D26" s="189" t="n">
        <v>0.1</v>
      </c>
      <c r="E26" s="189" t="n">
        <v>0.5</v>
      </c>
      <c r="F26" s="189" t="n">
        <v>0.25</v>
      </c>
      <c r="G26" s="189" t="n">
        <v>0.1</v>
      </c>
      <c r="H26" s="190">
        <f>SUMPRODUCT(B26:G26,B$16:G$16)</f>
        <v/>
      </c>
    </row>
    <row r="27">
      <c r="A27" t="inlineStr">
        <is>
          <t>Infrastructure</t>
        </is>
      </c>
      <c r="B27" s="189" t="n">
        <v>0.05</v>
      </c>
      <c r="C27" s="189" t="n">
        <v>0.1</v>
      </c>
      <c r="D27" s="189" t="n">
        <v>0.15</v>
      </c>
      <c r="E27" s="189" t="n">
        <v>0.2</v>
      </c>
      <c r="F27" s="189" t="n">
        <v>0.15</v>
      </c>
      <c r="G27" s="189" t="n">
        <v>0.35</v>
      </c>
      <c r="H27" s="190">
        <f>SUMPRODUCT(B27:G27,B$16:G$16)</f>
        <v/>
      </c>
    </row>
    <row r="28">
      <c r="A28" s="177" t="inlineStr">
        <is>
          <t>WMS Consultant</t>
        </is>
      </c>
      <c r="B28" s="189" t="n">
        <v>0.1</v>
      </c>
      <c r="C28" s="189" t="n">
        <v>0.15</v>
      </c>
      <c r="D28" s="189" t="n">
        <v>0.1</v>
      </c>
      <c r="E28" s="189" t="n">
        <v>0.1</v>
      </c>
      <c r="F28" s="189" t="n">
        <v>0.05</v>
      </c>
      <c r="G28" s="189" t="n">
        <v>0.5</v>
      </c>
      <c r="H28" s="190">
        <f>SUMPRODUCT(B28:G28,B$16:G$16)</f>
        <v/>
      </c>
    </row>
    <row r="29">
      <c r="A29" s="183" t="inlineStr">
        <is>
          <t>Phase Total (all roles)</t>
        </is>
      </c>
      <c r="B29" s="195">
        <f>SUM(B21:B28)</f>
        <v/>
      </c>
      <c r="C29" s="195">
        <f>SUM(C21:C28)</f>
        <v/>
      </c>
      <c r="D29" s="195">
        <f>SUM(D21:D28)</f>
        <v/>
      </c>
      <c r="E29" s="195">
        <f>SUM(E21:E28)</f>
        <v/>
      </c>
      <c r="F29" s="191">
        <f>SUM(F21:F28)</f>
        <v/>
      </c>
      <c r="G29" s="191">
        <f>SUM(G21:G28)</f>
        <v/>
      </c>
      <c r="H29" s="184" t="n"/>
    </row>
    <row r="31">
      <c r="A31" s="177" t="inlineStr">
        <is>
          <t>SUPPLY: TEAM CAPACITY BY ROLE</t>
        </is>
      </c>
      <c r="B31" s="178" t="n"/>
      <c r="C31" s="178" t="n"/>
      <c r="D31" s="178" t="n"/>
      <c r="E31" s="196" t="n"/>
    </row>
    <row r="32">
      <c r="A32" s="179" t="inlineStr">
        <is>
          <t>Role</t>
        </is>
      </c>
      <c r="B32" s="179" t="inlineStr">
        <is>
          <t>Headcount</t>
        </is>
      </c>
      <c r="C32" s="179" t="inlineStr">
        <is>
          <t>Hrs/Wk (Gross)</t>
        </is>
      </c>
      <c r="D32" s="179" t="inlineStr">
        <is>
          <t>Project Hrs/Wk</t>
        </is>
      </c>
      <c r="E32" s="197" t="inlineStr">
        <is>
          <t>Notes</t>
        </is>
      </c>
    </row>
    <row r="33">
      <c r="A33" t="inlineStr">
        <is>
          <t>PM</t>
        </is>
      </c>
      <c r="B33">
        <f>COUNTIF('Team Roster'!B$4:B$26,"Project Manager")</f>
        <v/>
      </c>
      <c r="C33">
        <f>SUMIF('Team Roster'!B$4:B$26,"Project Manager",'Team Roster'!G$4:G$26)</f>
        <v/>
      </c>
      <c r="D33">
        <f>C33*$B$9</f>
        <v/>
      </c>
      <c r="E33" s="192" t="inlineStr">
        <is>
          <t>Roster role: "Project Manager"</t>
        </is>
      </c>
    </row>
    <row r="34">
      <c r="A34" t="inlineStr">
        <is>
          <t>DBA</t>
        </is>
      </c>
      <c r="B34">
        <f>COUNTIF('Team Roster'!B$4:B$26,"DBA")</f>
        <v/>
      </c>
      <c r="C34">
        <f>SUMIF('Team Roster'!B$4:B$26,"DBA",'Team Roster'!G$4:G$26)</f>
        <v/>
      </c>
      <c r="D34">
        <f>C34*$B$9</f>
        <v/>
      </c>
      <c r="E34" s="192" t="inlineStr">
        <is>
          <t>Roster role: "DBA"</t>
        </is>
      </c>
    </row>
    <row r="35">
      <c r="A35" s="176" t="inlineStr">
        <is>
          <t>IT Business Analyst/SME</t>
        </is>
      </c>
      <c r="B35" s="176">
        <f>COUNTIF('Team Roster'!B$4:B$26,"Business Analyst")</f>
        <v/>
      </c>
      <c r="C35" s="176">
        <f>SUMIF('Team Roster'!B$4:B$26,"Business Analyst",'Team Roster'!G$4:G$26)</f>
        <v/>
      </c>
      <c r="D35" s="176">
        <f>C35*$B$9</f>
        <v/>
      </c>
      <c r="E35" s="194" t="inlineStr">
        <is>
          <t>Roster role: "Business Analyst"</t>
        </is>
      </c>
    </row>
    <row r="36">
      <c r="A36" t="inlineStr">
        <is>
          <t>IT Functional Analyst</t>
        </is>
      </c>
      <c r="B36">
        <f>COUNTIF('Team Roster'!B$4:B$26,"Functional")</f>
        <v/>
      </c>
      <c r="C36">
        <f>SUMIF('Team Roster'!B$4:B$26,"Functional",'Team Roster'!G$4:G$26)</f>
        <v/>
      </c>
      <c r="D36">
        <f>C36*$B$9</f>
        <v/>
      </c>
      <c r="E36" s="192" t="inlineStr">
        <is>
          <t>Roster role: "Functional"</t>
        </is>
      </c>
    </row>
    <row r="37">
      <c r="A37" t="inlineStr">
        <is>
          <t>IT Tech Analyst/Developer</t>
        </is>
      </c>
      <c r="B37">
        <f>COUNTIF('Team Roster'!B$4:B$26,"Technical")</f>
        <v/>
      </c>
      <c r="C37">
        <f>SUMIF('Team Roster'!B$4:B$26,"Technical",'Team Roster'!G$4:G$26)</f>
        <v/>
      </c>
      <c r="D37">
        <f>C37*$B$9</f>
        <v/>
      </c>
      <c r="E37" s="192" t="inlineStr">
        <is>
          <t>Roster role: "Technical"</t>
        </is>
      </c>
    </row>
    <row r="38">
      <c r="A38" s="183" t="inlineStr">
        <is>
          <t>Developer</t>
        </is>
      </c>
      <c r="B38" s="183">
        <f>COUNTIF('Team Roster'!B$4:B$26,"Developer")</f>
        <v/>
      </c>
      <c r="C38" s="183">
        <f>SUMIF('Team Roster'!B$4:B$26,"Developer",'Team Roster'!G$4:G$26)</f>
        <v/>
      </c>
      <c r="D38" s="183">
        <f>C38*$B$9</f>
        <v/>
      </c>
      <c r="E38" s="193" t="inlineStr">
        <is>
          <t>Roster role: "Developer"</t>
        </is>
      </c>
    </row>
    <row r="39">
      <c r="A39" t="inlineStr">
        <is>
          <t>Infrastructure</t>
        </is>
      </c>
      <c r="B39">
        <f>COUNTIF('Team Roster'!B$4:B$26,"Infrastructure")</f>
        <v/>
      </c>
      <c r="C39">
        <f>SUMIF('Team Roster'!B$4:B$26,"Infrastructure",'Team Roster'!G$4:G$26)</f>
        <v/>
      </c>
      <c r="D39">
        <f>C39*$B$9</f>
        <v/>
      </c>
      <c r="E39" s="192" t="inlineStr">
        <is>
          <t>Roster role: "Infrastructure"</t>
        </is>
      </c>
    </row>
    <row r="40">
      <c r="A40" t="inlineStr">
        <is>
          <t>WMS Consultant</t>
        </is>
      </c>
      <c r="B40">
        <f>COUNTIF('Team Roster'!B$4:B$26,"WMS Consultant")</f>
        <v/>
      </c>
      <c r="C40">
        <f>SUMIF('Team Roster'!B$4:B$26,"WMS Consultant",'Team Roster'!G$4:G$26)</f>
        <v/>
      </c>
      <c r="D40">
        <f>C40*$B$9</f>
        <v/>
      </c>
      <c r="E40" s="192" t="inlineStr">
        <is>
          <t>Roster role: "WMS Consultant"</t>
        </is>
      </c>
    </row>
    <row r="41">
      <c r="A41" s="183" t="inlineStr">
        <is>
          <t>TOTAL</t>
        </is>
      </c>
      <c r="B41" s="183">
        <f>SUM(B33:B40)</f>
        <v/>
      </c>
      <c r="C41" s="183">
        <f>SUM(C33:C40)</f>
        <v/>
      </c>
      <c r="D41" s="183">
        <f>SUM(D33:D40)</f>
        <v/>
      </c>
      <c r="E41" s="18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0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</cols>
  <sheetData>
    <row r="1">
      <c r="A1" s="270" t="inlineStr">
        <is>
          <t>ETE IT PMO — Weekly Capacity Heatmap (Per Person)</t>
        </is>
      </c>
    </row>
    <row r="2">
      <c r="A2" s="309" t="inlineStr">
        <is>
          <t>Overloaded (&gt;100%)</t>
        </is>
      </c>
      <c r="B2" s="310" t="inlineStr">
        <is>
          <t>At Capacity (80-100%)</t>
        </is>
      </c>
      <c r="C2" s="311" t="inlineStr">
        <is>
          <t>Healthy (&lt;80%)</t>
        </is>
      </c>
    </row>
    <row r="4">
      <c r="A4" s="300" t="inlineStr">
        <is>
          <t>Resource</t>
        </is>
      </c>
      <c r="B4" s="300" t="inlineStr">
        <is>
          <t>Role</t>
        </is>
      </c>
      <c r="C4" s="300" t="inlineStr">
        <is>
          <t>Team</t>
        </is>
      </c>
      <c r="D4" s="300" t="inlineStr">
        <is>
          <t>Capacity
(hrs/wk)</t>
        </is>
      </c>
      <c r="E4" s="312" t="inlineStr">
        <is>
          <t>04/06</t>
        </is>
      </c>
      <c r="F4" s="312" t="inlineStr">
        <is>
          <t>04/13</t>
        </is>
      </c>
      <c r="G4" s="312" t="inlineStr">
        <is>
          <t>04/20</t>
        </is>
      </c>
      <c r="H4" s="312" t="inlineStr">
        <is>
          <t>04/27</t>
        </is>
      </c>
      <c r="I4" s="312" t="inlineStr">
        <is>
          <t>05/04</t>
        </is>
      </c>
      <c r="J4" s="312" t="inlineStr">
        <is>
          <t>05/11</t>
        </is>
      </c>
      <c r="K4" s="312" t="inlineStr">
        <is>
          <t>05/18</t>
        </is>
      </c>
      <c r="L4" s="312" t="inlineStr">
        <is>
          <t>05/25</t>
        </is>
      </c>
      <c r="M4" s="312" t="inlineStr">
        <is>
          <t>06/01</t>
        </is>
      </c>
      <c r="N4" s="312" t="inlineStr">
        <is>
          <t>06/08</t>
        </is>
      </c>
      <c r="O4" s="312" t="inlineStr">
        <is>
          <t>06/15</t>
        </is>
      </c>
      <c r="P4" s="312" t="inlineStr">
        <is>
          <t>06/22</t>
        </is>
      </c>
      <c r="Q4" s="312" t="inlineStr">
        <is>
          <t>06/29</t>
        </is>
      </c>
      <c r="R4" s="312" t="inlineStr">
        <is>
          <t>07/06</t>
        </is>
      </c>
      <c r="S4" s="312" t="inlineStr">
        <is>
          <t>07/13</t>
        </is>
      </c>
      <c r="T4" s="312" t="inlineStr">
        <is>
          <t>07/20</t>
        </is>
      </c>
      <c r="U4" s="312" t="inlineStr">
        <is>
          <t>07/27</t>
        </is>
      </c>
      <c r="V4" s="312" t="inlineStr">
        <is>
          <t>08/03</t>
        </is>
      </c>
      <c r="W4" s="312" t="inlineStr">
        <is>
          <t>08/10</t>
        </is>
      </c>
      <c r="X4" s="312" t="inlineStr">
        <is>
          <t>08/17</t>
        </is>
      </c>
      <c r="Y4" s="312" t="inlineStr">
        <is>
          <t>08/24</t>
        </is>
      </c>
      <c r="Z4" s="312" t="inlineStr">
        <is>
          <t>08/31</t>
        </is>
      </c>
      <c r="AA4" s="312" t="inlineStr">
        <is>
          <t>09/07</t>
        </is>
      </c>
      <c r="AB4" s="312" t="inlineStr">
        <is>
          <t>09/14</t>
        </is>
      </c>
      <c r="AC4" s="312" t="inlineStr">
        <is>
          <t>09/21</t>
        </is>
      </c>
      <c r="AD4" s="312" t="inlineStr">
        <is>
          <t>09/28</t>
        </is>
      </c>
    </row>
    <row r="5">
      <c r="A5" s="274" t="inlineStr">
        <is>
          <t>Bettina Kotico</t>
        </is>
      </c>
      <c r="B5" s="274" t="inlineStr">
        <is>
          <t>Project Manager</t>
        </is>
      </c>
      <c r="C5" s="274" t="inlineStr">
        <is>
          <t>PMO</t>
        </is>
      </c>
      <c r="D5" s="275" t="n">
        <v>0</v>
      </c>
      <c r="E5" s="313" t="n">
        <v>0</v>
      </c>
      <c r="F5" s="313" t="n">
        <v>0</v>
      </c>
      <c r="G5" s="313" t="n">
        <v>0</v>
      </c>
      <c r="H5" s="313" t="n">
        <v>0</v>
      </c>
      <c r="I5" s="313" t="n">
        <v>0</v>
      </c>
      <c r="J5" s="313" t="n">
        <v>0</v>
      </c>
      <c r="K5" s="313" t="n">
        <v>0</v>
      </c>
      <c r="L5" s="313" t="n">
        <v>0</v>
      </c>
      <c r="M5" s="313" t="n">
        <v>0</v>
      </c>
      <c r="N5" s="313" t="n">
        <v>0</v>
      </c>
      <c r="O5" s="313" t="n">
        <v>0</v>
      </c>
      <c r="P5" s="313" t="n">
        <v>0</v>
      </c>
      <c r="Q5" s="313" t="n">
        <v>0</v>
      </c>
      <c r="R5" s="313" t="n">
        <v>0</v>
      </c>
      <c r="S5" s="313" t="n">
        <v>0</v>
      </c>
      <c r="T5" s="313" t="n">
        <v>0</v>
      </c>
      <c r="U5" s="313" t="n">
        <v>0</v>
      </c>
      <c r="V5" s="313" t="n">
        <v>0</v>
      </c>
      <c r="W5" s="313" t="n">
        <v>0</v>
      </c>
      <c r="X5" s="313" t="n">
        <v>0</v>
      </c>
      <c r="Y5" s="313" t="n">
        <v>0</v>
      </c>
      <c r="Z5" s="313" t="n">
        <v>0</v>
      </c>
      <c r="AA5" s="313" t="n">
        <v>0</v>
      </c>
      <c r="AB5" s="313" t="n">
        <v>0</v>
      </c>
      <c r="AC5" s="313" t="n">
        <v>0</v>
      </c>
      <c r="AD5" s="313" t="n">
        <v>0</v>
      </c>
    </row>
    <row r="6">
      <c r="A6" s="274" t="inlineStr">
        <is>
          <t>Brett Anderson</t>
        </is>
      </c>
      <c r="B6" s="274" t="inlineStr">
        <is>
          <t>Project Manager</t>
        </is>
      </c>
      <c r="C6" s="274" t="inlineStr">
        <is>
          <t>PMO</t>
        </is>
      </c>
      <c r="D6" s="275" t="n">
        <v>0</v>
      </c>
      <c r="E6" s="313" t="n">
        <v>0</v>
      </c>
      <c r="F6" s="313" t="n">
        <v>0</v>
      </c>
      <c r="G6" s="313" t="n">
        <v>0</v>
      </c>
      <c r="H6" s="313" t="n">
        <v>0</v>
      </c>
      <c r="I6" s="313" t="n">
        <v>0</v>
      </c>
      <c r="J6" s="313" t="n">
        <v>0</v>
      </c>
      <c r="K6" s="313" t="n">
        <v>0</v>
      </c>
      <c r="L6" s="313" t="n">
        <v>0</v>
      </c>
      <c r="M6" s="313" t="n">
        <v>0</v>
      </c>
      <c r="N6" s="313" t="n">
        <v>0</v>
      </c>
      <c r="O6" s="313" t="n">
        <v>0</v>
      </c>
      <c r="P6" s="313" t="n">
        <v>0</v>
      </c>
      <c r="Q6" s="313" t="n">
        <v>0</v>
      </c>
      <c r="R6" s="313" t="n">
        <v>0</v>
      </c>
      <c r="S6" s="313" t="n">
        <v>0</v>
      </c>
      <c r="T6" s="313" t="n">
        <v>0</v>
      </c>
      <c r="U6" s="313" t="n">
        <v>0</v>
      </c>
      <c r="V6" s="313" t="n">
        <v>0</v>
      </c>
      <c r="W6" s="313" t="n">
        <v>0</v>
      </c>
      <c r="X6" s="313" t="n">
        <v>0</v>
      </c>
      <c r="Y6" s="313" t="n">
        <v>0</v>
      </c>
      <c r="Z6" s="313" t="n">
        <v>0</v>
      </c>
      <c r="AA6" s="313" t="n">
        <v>0</v>
      </c>
      <c r="AB6" s="313" t="n">
        <v>0</v>
      </c>
      <c r="AC6" s="313" t="n">
        <v>0</v>
      </c>
      <c r="AD6" s="313" t="n">
        <v>0</v>
      </c>
    </row>
    <row r="7">
      <c r="A7" s="274" t="inlineStr">
        <is>
          <t>Emily Fridley</t>
        </is>
      </c>
      <c r="B7" s="274" t="inlineStr">
        <is>
          <t>Project Manager</t>
        </is>
      </c>
      <c r="C7" s="274" t="inlineStr">
        <is>
          <t>PMO</t>
        </is>
      </c>
      <c r="D7" s="275" t="n">
        <v>0</v>
      </c>
      <c r="E7" s="313" t="n">
        <v>0</v>
      </c>
      <c r="F7" s="313" t="n">
        <v>0</v>
      </c>
      <c r="G7" s="313" t="n">
        <v>0</v>
      </c>
      <c r="H7" s="313" t="n">
        <v>0</v>
      </c>
      <c r="I7" s="313" t="n">
        <v>0</v>
      </c>
      <c r="J7" s="313" t="n">
        <v>0</v>
      </c>
      <c r="K7" s="313" t="n">
        <v>0</v>
      </c>
      <c r="L7" s="313" t="n">
        <v>0</v>
      </c>
      <c r="M7" s="313" t="n">
        <v>0</v>
      </c>
      <c r="N7" s="313" t="n">
        <v>0</v>
      </c>
      <c r="O7" s="313" t="n">
        <v>0</v>
      </c>
      <c r="P7" s="313" t="n">
        <v>0</v>
      </c>
      <c r="Q7" s="313" t="n">
        <v>0</v>
      </c>
      <c r="R7" s="313" t="n">
        <v>0</v>
      </c>
      <c r="S7" s="313" t="n">
        <v>0</v>
      </c>
      <c r="T7" s="313" t="n">
        <v>0</v>
      </c>
      <c r="U7" s="313" t="n">
        <v>0</v>
      </c>
      <c r="V7" s="313" t="n">
        <v>0</v>
      </c>
      <c r="W7" s="313" t="n">
        <v>0</v>
      </c>
      <c r="X7" s="313" t="n">
        <v>0</v>
      </c>
      <c r="Y7" s="313" t="n">
        <v>0</v>
      </c>
      <c r="Z7" s="313" t="n">
        <v>0</v>
      </c>
      <c r="AA7" s="313" t="n">
        <v>0</v>
      </c>
      <c r="AB7" s="313" t="n">
        <v>0</v>
      </c>
      <c r="AC7" s="313" t="n">
        <v>0</v>
      </c>
      <c r="AD7" s="313" t="n">
        <v>0</v>
      </c>
    </row>
    <row r="8">
      <c r="A8" s="274" t="inlineStr">
        <is>
          <t>Vinod Bollepally</t>
        </is>
      </c>
      <c r="B8" s="274" t="inlineStr">
        <is>
          <t>DBA</t>
        </is>
      </c>
      <c r="C8" s="274" t="inlineStr">
        <is>
          <t>ERP</t>
        </is>
      </c>
      <c r="D8" s="275" t="n">
        <v>0</v>
      </c>
      <c r="E8" s="313" t="n">
        <v>0</v>
      </c>
      <c r="F8" s="313" t="n">
        <v>0</v>
      </c>
      <c r="G8" s="313" t="n">
        <v>0</v>
      </c>
      <c r="H8" s="313" t="n">
        <v>0</v>
      </c>
      <c r="I8" s="313" t="n">
        <v>0</v>
      </c>
      <c r="J8" s="313" t="n">
        <v>0</v>
      </c>
      <c r="K8" s="313" t="n">
        <v>0</v>
      </c>
      <c r="L8" s="313" t="n">
        <v>0</v>
      </c>
      <c r="M8" s="313" t="n">
        <v>0</v>
      </c>
      <c r="N8" s="313" t="n">
        <v>0</v>
      </c>
      <c r="O8" s="313" t="n">
        <v>0</v>
      </c>
      <c r="P8" s="313" t="n">
        <v>0</v>
      </c>
      <c r="Q8" s="313" t="n">
        <v>0</v>
      </c>
      <c r="R8" s="313" t="n">
        <v>0</v>
      </c>
      <c r="S8" s="313" t="n">
        <v>0</v>
      </c>
      <c r="T8" s="313" t="n">
        <v>0</v>
      </c>
      <c r="U8" s="313" t="n">
        <v>0</v>
      </c>
      <c r="V8" s="313" t="n">
        <v>0</v>
      </c>
      <c r="W8" s="313" t="n">
        <v>0</v>
      </c>
      <c r="X8" s="313" t="n">
        <v>0</v>
      </c>
      <c r="Y8" s="313" t="n">
        <v>0</v>
      </c>
      <c r="Z8" s="313" t="n">
        <v>0</v>
      </c>
      <c r="AA8" s="313" t="n">
        <v>0</v>
      </c>
      <c r="AB8" s="313" t="n">
        <v>0</v>
      </c>
      <c r="AC8" s="313" t="n">
        <v>0</v>
      </c>
      <c r="AD8" s="313" t="n">
        <v>0</v>
      </c>
    </row>
    <row r="9">
      <c r="A9" s="274" t="inlineStr">
        <is>
          <t>Audrey Debaere</t>
        </is>
      </c>
      <c r="B9" s="274" t="inlineStr">
        <is>
          <t>Business Analyst</t>
        </is>
      </c>
      <c r="C9" s="274" t="inlineStr">
        <is>
          <t>Business Analysts</t>
        </is>
      </c>
      <c r="D9" s="275" t="n">
        <v>0</v>
      </c>
      <c r="E9" s="313" t="n">
        <v>0</v>
      </c>
      <c r="F9" s="313" t="n">
        <v>0</v>
      </c>
      <c r="G9" s="313" t="n">
        <v>0</v>
      </c>
      <c r="H9" s="313" t="n">
        <v>0</v>
      </c>
      <c r="I9" s="313" t="n">
        <v>0</v>
      </c>
      <c r="J9" s="313" t="n">
        <v>0</v>
      </c>
      <c r="K9" s="313" t="n">
        <v>0</v>
      </c>
      <c r="L9" s="313" t="n">
        <v>0</v>
      </c>
      <c r="M9" s="313" t="n">
        <v>0</v>
      </c>
      <c r="N9" s="313" t="n">
        <v>0</v>
      </c>
      <c r="O9" s="313" t="n">
        <v>0</v>
      </c>
      <c r="P9" s="313" t="n">
        <v>0</v>
      </c>
      <c r="Q9" s="313" t="n">
        <v>0</v>
      </c>
      <c r="R9" s="313" t="n">
        <v>0</v>
      </c>
      <c r="S9" s="313" t="n">
        <v>0</v>
      </c>
      <c r="T9" s="313" t="n">
        <v>0</v>
      </c>
      <c r="U9" s="313" t="n">
        <v>0</v>
      </c>
      <c r="V9" s="313" t="n">
        <v>0</v>
      </c>
      <c r="W9" s="313" t="n">
        <v>0</v>
      </c>
      <c r="X9" s="313" t="n">
        <v>0</v>
      </c>
      <c r="Y9" s="313" t="n">
        <v>0</v>
      </c>
      <c r="Z9" s="313" t="n">
        <v>0</v>
      </c>
      <c r="AA9" s="313" t="n">
        <v>0</v>
      </c>
      <c r="AB9" s="313" t="n">
        <v>0</v>
      </c>
      <c r="AC9" s="313" t="n">
        <v>0</v>
      </c>
      <c r="AD9" s="313" t="n">
        <v>0</v>
      </c>
    </row>
    <row r="10">
      <c r="A10" s="274" t="inlineStr">
        <is>
          <t>Cristian Varelas</t>
        </is>
      </c>
      <c r="B10" s="274" t="inlineStr">
        <is>
          <t>Business Analyst</t>
        </is>
      </c>
      <c r="C10" s="274" t="inlineStr">
        <is>
          <t>Business Analysts</t>
        </is>
      </c>
      <c r="D10" s="275" t="n">
        <v>0</v>
      </c>
      <c r="E10" s="313" t="n">
        <v>0</v>
      </c>
      <c r="F10" s="313" t="n">
        <v>0</v>
      </c>
      <c r="G10" s="313" t="n">
        <v>0</v>
      </c>
      <c r="H10" s="313" t="n">
        <v>0</v>
      </c>
      <c r="I10" s="313" t="n">
        <v>0</v>
      </c>
      <c r="J10" s="313" t="n">
        <v>0</v>
      </c>
      <c r="K10" s="313" t="n">
        <v>0</v>
      </c>
      <c r="L10" s="313" t="n">
        <v>0</v>
      </c>
      <c r="M10" s="313" t="n">
        <v>0</v>
      </c>
      <c r="N10" s="313" t="n">
        <v>0</v>
      </c>
      <c r="O10" s="313" t="n">
        <v>0</v>
      </c>
      <c r="P10" s="313" t="n">
        <v>0</v>
      </c>
      <c r="Q10" s="313" t="n">
        <v>0</v>
      </c>
      <c r="R10" s="313" t="n">
        <v>0</v>
      </c>
      <c r="S10" s="313" t="n">
        <v>0</v>
      </c>
      <c r="T10" s="313" t="n">
        <v>0</v>
      </c>
      <c r="U10" s="313" t="n">
        <v>0</v>
      </c>
      <c r="V10" s="313" t="n">
        <v>0</v>
      </c>
      <c r="W10" s="313" t="n">
        <v>0</v>
      </c>
      <c r="X10" s="313" t="n">
        <v>0</v>
      </c>
      <c r="Y10" s="313" t="n">
        <v>0</v>
      </c>
      <c r="Z10" s="313" t="n">
        <v>0</v>
      </c>
      <c r="AA10" s="313" t="n">
        <v>0</v>
      </c>
      <c r="AB10" s="313" t="n">
        <v>0</v>
      </c>
      <c r="AC10" s="313" t="n">
        <v>0</v>
      </c>
      <c r="AD10" s="313" t="n">
        <v>0</v>
      </c>
    </row>
    <row r="11">
      <c r="A11" s="274" t="inlineStr">
        <is>
          <t>Jim Young</t>
        </is>
      </c>
      <c r="B11" s="274" t="inlineStr">
        <is>
          <t>Business Analyst</t>
        </is>
      </c>
      <c r="C11" s="274" t="inlineStr">
        <is>
          <t>Business Analysts</t>
        </is>
      </c>
      <c r="D11" s="275" t="n">
        <v>0</v>
      </c>
      <c r="E11" s="313" t="n">
        <v>0</v>
      </c>
      <c r="F11" s="313" t="n">
        <v>0</v>
      </c>
      <c r="G11" s="313" t="n">
        <v>0</v>
      </c>
      <c r="H11" s="313" t="n">
        <v>0</v>
      </c>
      <c r="I11" s="313" t="n">
        <v>0</v>
      </c>
      <c r="J11" s="313" t="n">
        <v>0</v>
      </c>
      <c r="K11" s="313" t="n">
        <v>0</v>
      </c>
      <c r="L11" s="313" t="n">
        <v>0</v>
      </c>
      <c r="M11" s="313" t="n">
        <v>0</v>
      </c>
      <c r="N11" s="313" t="n">
        <v>0</v>
      </c>
      <c r="O11" s="313" t="n">
        <v>0</v>
      </c>
      <c r="P11" s="313" t="n">
        <v>0</v>
      </c>
      <c r="Q11" s="313" t="n">
        <v>0</v>
      </c>
      <c r="R11" s="313" t="n">
        <v>0</v>
      </c>
      <c r="S11" s="313" t="n">
        <v>0</v>
      </c>
      <c r="T11" s="313" t="n">
        <v>0</v>
      </c>
      <c r="U11" s="313" t="n">
        <v>0</v>
      </c>
      <c r="V11" s="313" t="n">
        <v>0</v>
      </c>
      <c r="W11" s="313" t="n">
        <v>0</v>
      </c>
      <c r="X11" s="313" t="n">
        <v>0</v>
      </c>
      <c r="Y11" s="313" t="n">
        <v>0</v>
      </c>
      <c r="Z11" s="313" t="n">
        <v>0</v>
      </c>
      <c r="AA11" s="313" t="n">
        <v>0</v>
      </c>
      <c r="AB11" s="313" t="n">
        <v>0</v>
      </c>
      <c r="AC11" s="313" t="n">
        <v>0</v>
      </c>
      <c r="AD11" s="313" t="n">
        <v>0</v>
      </c>
    </row>
    <row r="12">
      <c r="A12" s="274" t="inlineStr">
        <is>
          <t>Ryan Picado</t>
        </is>
      </c>
      <c r="B12" s="274" t="inlineStr">
        <is>
          <t>Business Analyst</t>
        </is>
      </c>
      <c r="C12" s="274" t="inlineStr">
        <is>
          <t>Business Analysts</t>
        </is>
      </c>
      <c r="D12" s="275" t="n">
        <v>0</v>
      </c>
      <c r="E12" s="313" t="n">
        <v>0</v>
      </c>
      <c r="F12" s="313" t="n">
        <v>0</v>
      </c>
      <c r="G12" s="313" t="n">
        <v>0</v>
      </c>
      <c r="H12" s="313" t="n">
        <v>0</v>
      </c>
      <c r="I12" s="313" t="n">
        <v>0</v>
      </c>
      <c r="J12" s="313" t="n">
        <v>0</v>
      </c>
      <c r="K12" s="313" t="n">
        <v>0</v>
      </c>
      <c r="L12" s="313" t="n">
        <v>0</v>
      </c>
      <c r="M12" s="313" t="n">
        <v>0</v>
      </c>
      <c r="N12" s="313" t="n">
        <v>0</v>
      </c>
      <c r="O12" s="313" t="n">
        <v>0</v>
      </c>
      <c r="P12" s="313" t="n">
        <v>0</v>
      </c>
      <c r="Q12" s="313" t="n">
        <v>0</v>
      </c>
      <c r="R12" s="313" t="n">
        <v>0</v>
      </c>
      <c r="S12" s="313" t="n">
        <v>0</v>
      </c>
      <c r="T12" s="313" t="n">
        <v>0</v>
      </c>
      <c r="U12" s="313" t="n">
        <v>0</v>
      </c>
      <c r="V12" s="313" t="n">
        <v>0</v>
      </c>
      <c r="W12" s="313" t="n">
        <v>0</v>
      </c>
      <c r="X12" s="313" t="n">
        <v>0</v>
      </c>
      <c r="Y12" s="313" t="n">
        <v>0</v>
      </c>
      <c r="Z12" s="313" t="n">
        <v>0</v>
      </c>
      <c r="AA12" s="313" t="n">
        <v>0</v>
      </c>
      <c r="AB12" s="313" t="n">
        <v>0</v>
      </c>
      <c r="AC12" s="313" t="n">
        <v>0</v>
      </c>
      <c r="AD12" s="313" t="n">
        <v>0</v>
      </c>
    </row>
    <row r="13">
      <c r="A13" s="274" t="inlineStr">
        <is>
          <t>Ajay Kumar</t>
        </is>
      </c>
      <c r="B13" s="274" t="inlineStr">
        <is>
          <t>Functional</t>
        </is>
      </c>
      <c r="C13" s="274" t="inlineStr">
        <is>
          <t>ERP</t>
        </is>
      </c>
      <c r="D13" s="275" t="n">
        <v>0</v>
      </c>
      <c r="E13" s="313" t="n">
        <v>0</v>
      </c>
      <c r="F13" s="313" t="n">
        <v>0</v>
      </c>
      <c r="G13" s="313" t="n">
        <v>0</v>
      </c>
      <c r="H13" s="313" t="n">
        <v>0</v>
      </c>
      <c r="I13" s="313" t="n">
        <v>0</v>
      </c>
      <c r="J13" s="313" t="n">
        <v>0</v>
      </c>
      <c r="K13" s="313" t="n">
        <v>0</v>
      </c>
      <c r="L13" s="313" t="n">
        <v>0</v>
      </c>
      <c r="M13" s="313" t="n">
        <v>0</v>
      </c>
      <c r="N13" s="313" t="n">
        <v>0</v>
      </c>
      <c r="O13" s="313" t="n">
        <v>0</v>
      </c>
      <c r="P13" s="313" t="n">
        <v>0</v>
      </c>
      <c r="Q13" s="313" t="n">
        <v>0</v>
      </c>
      <c r="R13" s="313" t="n">
        <v>0</v>
      </c>
      <c r="S13" s="313" t="n">
        <v>0</v>
      </c>
      <c r="T13" s="313" t="n">
        <v>0</v>
      </c>
      <c r="U13" s="313" t="n">
        <v>0</v>
      </c>
      <c r="V13" s="313" t="n">
        <v>0</v>
      </c>
      <c r="W13" s="313" t="n">
        <v>0</v>
      </c>
      <c r="X13" s="313" t="n">
        <v>0</v>
      </c>
      <c r="Y13" s="313" t="n">
        <v>0</v>
      </c>
      <c r="Z13" s="313" t="n">
        <v>0</v>
      </c>
      <c r="AA13" s="313" t="n">
        <v>0</v>
      </c>
      <c r="AB13" s="313" t="n">
        <v>0</v>
      </c>
      <c r="AC13" s="313" t="n">
        <v>0</v>
      </c>
      <c r="AD13" s="313" t="n">
        <v>0</v>
      </c>
    </row>
    <row r="14">
      <c r="A14" s="274" t="inlineStr">
        <is>
          <t>Deepak Gudwani</t>
        </is>
      </c>
      <c r="B14" s="274" t="inlineStr">
        <is>
          <t>Functional</t>
        </is>
      </c>
      <c r="C14" s="274" t="inlineStr">
        <is>
          <t>ERP</t>
        </is>
      </c>
      <c r="D14" s="275" t="n">
        <v>0</v>
      </c>
      <c r="E14" s="313" t="n">
        <v>0</v>
      </c>
      <c r="F14" s="313" t="n">
        <v>0</v>
      </c>
      <c r="G14" s="313" t="n">
        <v>0</v>
      </c>
      <c r="H14" s="313" t="n">
        <v>0</v>
      </c>
      <c r="I14" s="313" t="n">
        <v>0</v>
      </c>
      <c r="J14" s="313" t="n">
        <v>0</v>
      </c>
      <c r="K14" s="313" t="n">
        <v>0</v>
      </c>
      <c r="L14" s="313" t="n">
        <v>0</v>
      </c>
      <c r="M14" s="313" t="n">
        <v>0</v>
      </c>
      <c r="N14" s="313" t="n">
        <v>0</v>
      </c>
      <c r="O14" s="313" t="n">
        <v>0</v>
      </c>
      <c r="P14" s="313" t="n">
        <v>0</v>
      </c>
      <c r="Q14" s="313" t="n">
        <v>0</v>
      </c>
      <c r="R14" s="313" t="n">
        <v>0</v>
      </c>
      <c r="S14" s="313" t="n">
        <v>0</v>
      </c>
      <c r="T14" s="313" t="n">
        <v>0</v>
      </c>
      <c r="U14" s="313" t="n">
        <v>0</v>
      </c>
      <c r="V14" s="313" t="n">
        <v>0</v>
      </c>
      <c r="W14" s="313" t="n">
        <v>0</v>
      </c>
      <c r="X14" s="313" t="n">
        <v>0</v>
      </c>
      <c r="Y14" s="313" t="n">
        <v>0</v>
      </c>
      <c r="Z14" s="313" t="n">
        <v>0</v>
      </c>
      <c r="AA14" s="313" t="n">
        <v>0</v>
      </c>
      <c r="AB14" s="313" t="n">
        <v>0</v>
      </c>
      <c r="AC14" s="313" t="n">
        <v>0</v>
      </c>
      <c r="AD14" s="313" t="n">
        <v>0</v>
      </c>
    </row>
    <row r="15">
      <c r="A15" s="274" t="inlineStr">
        <is>
          <t>Bhavya Reddy</t>
        </is>
      </c>
      <c r="B15" s="274" t="inlineStr">
        <is>
          <t>Technical</t>
        </is>
      </c>
      <c r="C15" s="274" t="inlineStr">
        <is>
          <t>ERP</t>
        </is>
      </c>
      <c r="D15" s="275" t="n">
        <v>0</v>
      </c>
      <c r="E15" s="313" t="n">
        <v>0</v>
      </c>
      <c r="F15" s="313" t="n">
        <v>0</v>
      </c>
      <c r="G15" s="313" t="n">
        <v>0</v>
      </c>
      <c r="H15" s="313" t="n">
        <v>0</v>
      </c>
      <c r="I15" s="313" t="n">
        <v>0</v>
      </c>
      <c r="J15" s="313" t="n">
        <v>0</v>
      </c>
      <c r="K15" s="313" t="n">
        <v>0</v>
      </c>
      <c r="L15" s="313" t="n">
        <v>0</v>
      </c>
      <c r="M15" s="313" t="n">
        <v>0</v>
      </c>
      <c r="N15" s="313" t="n">
        <v>0</v>
      </c>
      <c r="O15" s="313" t="n">
        <v>0</v>
      </c>
      <c r="P15" s="313" t="n">
        <v>0</v>
      </c>
      <c r="Q15" s="313" t="n">
        <v>0</v>
      </c>
      <c r="R15" s="313" t="n">
        <v>0</v>
      </c>
      <c r="S15" s="313" t="n">
        <v>0</v>
      </c>
      <c r="T15" s="313" t="n">
        <v>0</v>
      </c>
      <c r="U15" s="313" t="n">
        <v>0</v>
      </c>
      <c r="V15" s="313" t="n">
        <v>0</v>
      </c>
      <c r="W15" s="313" t="n">
        <v>0</v>
      </c>
      <c r="X15" s="313" t="n">
        <v>0</v>
      </c>
      <c r="Y15" s="313" t="n">
        <v>0</v>
      </c>
      <c r="Z15" s="313" t="n">
        <v>0</v>
      </c>
      <c r="AA15" s="313" t="n">
        <v>0</v>
      </c>
      <c r="AB15" s="313" t="n">
        <v>0</v>
      </c>
      <c r="AC15" s="313" t="n">
        <v>0</v>
      </c>
      <c r="AD15" s="313" t="n">
        <v>0</v>
      </c>
    </row>
    <row r="16">
      <c r="A16" s="274" t="inlineStr">
        <is>
          <t>Ravindra Reddy</t>
        </is>
      </c>
      <c r="B16" s="274" t="inlineStr">
        <is>
          <t>Technical</t>
        </is>
      </c>
      <c r="C16" s="274" t="inlineStr">
        <is>
          <t>ERP</t>
        </is>
      </c>
      <c r="D16" s="275" t="n">
        <v>0</v>
      </c>
      <c r="E16" s="313" t="n">
        <v>0</v>
      </c>
      <c r="F16" s="313" t="n">
        <v>0</v>
      </c>
      <c r="G16" s="313" t="n">
        <v>0</v>
      </c>
      <c r="H16" s="313" t="n">
        <v>0</v>
      </c>
      <c r="I16" s="313" t="n">
        <v>0</v>
      </c>
      <c r="J16" s="313" t="n">
        <v>0</v>
      </c>
      <c r="K16" s="313" t="n">
        <v>0</v>
      </c>
      <c r="L16" s="313" t="n">
        <v>0</v>
      </c>
      <c r="M16" s="313" t="n">
        <v>0</v>
      </c>
      <c r="N16" s="313" t="n">
        <v>0</v>
      </c>
      <c r="O16" s="313" t="n">
        <v>0</v>
      </c>
      <c r="P16" s="313" t="n">
        <v>0</v>
      </c>
      <c r="Q16" s="313" t="n">
        <v>0</v>
      </c>
      <c r="R16" s="313" t="n">
        <v>0</v>
      </c>
      <c r="S16" s="313" t="n">
        <v>0</v>
      </c>
      <c r="T16" s="313" t="n">
        <v>0</v>
      </c>
      <c r="U16" s="313" t="n">
        <v>0</v>
      </c>
      <c r="V16" s="313" t="n">
        <v>0</v>
      </c>
      <c r="W16" s="313" t="n">
        <v>0</v>
      </c>
      <c r="X16" s="313" t="n">
        <v>0</v>
      </c>
      <c r="Y16" s="313" t="n">
        <v>0</v>
      </c>
      <c r="Z16" s="313" t="n">
        <v>0</v>
      </c>
      <c r="AA16" s="313" t="n">
        <v>0</v>
      </c>
      <c r="AB16" s="313" t="n">
        <v>0</v>
      </c>
      <c r="AC16" s="313" t="n">
        <v>0</v>
      </c>
      <c r="AD16" s="313" t="n">
        <v>0</v>
      </c>
    </row>
    <row r="17">
      <c r="A17" s="274" t="inlineStr">
        <is>
          <t>Sangamesh Koti</t>
        </is>
      </c>
      <c r="B17" s="274" t="inlineStr">
        <is>
          <t>Technical</t>
        </is>
      </c>
      <c r="C17" s="274" t="inlineStr">
        <is>
          <t>ERP</t>
        </is>
      </c>
      <c r="D17" s="275" t="n">
        <v>0</v>
      </c>
      <c r="E17" s="313" t="n">
        <v>0</v>
      </c>
      <c r="F17" s="313" t="n">
        <v>0</v>
      </c>
      <c r="G17" s="313" t="n">
        <v>0</v>
      </c>
      <c r="H17" s="313" t="n">
        <v>0</v>
      </c>
      <c r="I17" s="313" t="n">
        <v>0</v>
      </c>
      <c r="J17" s="313" t="n">
        <v>0</v>
      </c>
      <c r="K17" s="313" t="n">
        <v>0</v>
      </c>
      <c r="L17" s="313" t="n">
        <v>0</v>
      </c>
      <c r="M17" s="313" t="n">
        <v>0</v>
      </c>
      <c r="N17" s="313" t="n">
        <v>0</v>
      </c>
      <c r="O17" s="313" t="n">
        <v>0</v>
      </c>
      <c r="P17" s="313" t="n">
        <v>0</v>
      </c>
      <c r="Q17" s="313" t="n">
        <v>0</v>
      </c>
      <c r="R17" s="313" t="n">
        <v>0</v>
      </c>
      <c r="S17" s="313" t="n">
        <v>0</v>
      </c>
      <c r="T17" s="313" t="n">
        <v>0</v>
      </c>
      <c r="U17" s="313" t="n">
        <v>0</v>
      </c>
      <c r="V17" s="313" t="n">
        <v>0</v>
      </c>
      <c r="W17" s="313" t="n">
        <v>0</v>
      </c>
      <c r="X17" s="313" t="n">
        <v>0</v>
      </c>
      <c r="Y17" s="313" t="n">
        <v>0</v>
      </c>
      <c r="Z17" s="313" t="n">
        <v>0</v>
      </c>
      <c r="AA17" s="313" t="n">
        <v>0</v>
      </c>
      <c r="AB17" s="313" t="n">
        <v>0</v>
      </c>
      <c r="AC17" s="313" t="n">
        <v>0</v>
      </c>
      <c r="AD17" s="313" t="n">
        <v>0</v>
      </c>
    </row>
    <row r="18">
      <c r="A18" s="274" t="inlineStr">
        <is>
          <t>Sarath Yeturu</t>
        </is>
      </c>
      <c r="B18" s="274" t="inlineStr">
        <is>
          <t>Technical</t>
        </is>
      </c>
      <c r="C18" s="274" t="inlineStr">
        <is>
          <t>ERP</t>
        </is>
      </c>
      <c r="D18" s="275" t="n">
        <v>0</v>
      </c>
      <c r="E18" s="313" t="n">
        <v>0</v>
      </c>
      <c r="F18" s="313" t="n">
        <v>0</v>
      </c>
      <c r="G18" s="313" t="n">
        <v>0</v>
      </c>
      <c r="H18" s="313" t="n">
        <v>0</v>
      </c>
      <c r="I18" s="313" t="n">
        <v>0</v>
      </c>
      <c r="J18" s="313" t="n">
        <v>0</v>
      </c>
      <c r="K18" s="313" t="n">
        <v>0</v>
      </c>
      <c r="L18" s="313" t="n">
        <v>0</v>
      </c>
      <c r="M18" s="313" t="n">
        <v>0</v>
      </c>
      <c r="N18" s="313" t="n">
        <v>0</v>
      </c>
      <c r="O18" s="313" t="n">
        <v>0</v>
      </c>
      <c r="P18" s="313" t="n">
        <v>0</v>
      </c>
      <c r="Q18" s="313" t="n">
        <v>0</v>
      </c>
      <c r="R18" s="313" t="n">
        <v>0</v>
      </c>
      <c r="S18" s="313" t="n">
        <v>0</v>
      </c>
      <c r="T18" s="313" t="n">
        <v>0</v>
      </c>
      <c r="U18" s="313" t="n">
        <v>0</v>
      </c>
      <c r="V18" s="313" t="n">
        <v>0</v>
      </c>
      <c r="W18" s="313" t="n">
        <v>0</v>
      </c>
      <c r="X18" s="313" t="n">
        <v>0</v>
      </c>
      <c r="Y18" s="313" t="n">
        <v>0</v>
      </c>
      <c r="Z18" s="313" t="n">
        <v>0</v>
      </c>
      <c r="AA18" s="313" t="n">
        <v>0</v>
      </c>
      <c r="AB18" s="313" t="n">
        <v>0</v>
      </c>
      <c r="AC18" s="313" t="n">
        <v>0</v>
      </c>
      <c r="AD18" s="313" t="n">
        <v>0</v>
      </c>
    </row>
    <row r="19">
      <c r="A19" s="274" t="inlineStr">
        <is>
          <t>Vishnu Premen</t>
        </is>
      </c>
      <c r="B19" s="274" t="inlineStr">
        <is>
          <t>Technical</t>
        </is>
      </c>
      <c r="C19" s="274" t="inlineStr">
        <is>
          <t>ERP</t>
        </is>
      </c>
      <c r="D19" s="275" t="n">
        <v>0</v>
      </c>
      <c r="E19" s="313" t="n">
        <v>0</v>
      </c>
      <c r="F19" s="313" t="n">
        <v>0</v>
      </c>
      <c r="G19" s="313" t="n">
        <v>0</v>
      </c>
      <c r="H19" s="313" t="n">
        <v>0</v>
      </c>
      <c r="I19" s="313" t="n">
        <v>0</v>
      </c>
      <c r="J19" s="313" t="n">
        <v>0</v>
      </c>
      <c r="K19" s="313" t="n">
        <v>0</v>
      </c>
      <c r="L19" s="313" t="n">
        <v>0</v>
      </c>
      <c r="M19" s="313" t="n">
        <v>0</v>
      </c>
      <c r="N19" s="313" t="n">
        <v>0</v>
      </c>
      <c r="O19" s="313" t="n">
        <v>0</v>
      </c>
      <c r="P19" s="313" t="n">
        <v>0</v>
      </c>
      <c r="Q19" s="313" t="n">
        <v>0</v>
      </c>
      <c r="R19" s="313" t="n">
        <v>0</v>
      </c>
      <c r="S19" s="313" t="n">
        <v>0</v>
      </c>
      <c r="T19" s="313" t="n">
        <v>0</v>
      </c>
      <c r="U19" s="313" t="n">
        <v>0</v>
      </c>
      <c r="V19" s="313" t="n">
        <v>0</v>
      </c>
      <c r="W19" s="313" t="n">
        <v>0</v>
      </c>
      <c r="X19" s="313" t="n">
        <v>0</v>
      </c>
      <c r="Y19" s="313" t="n">
        <v>0</v>
      </c>
      <c r="Z19" s="313" t="n">
        <v>0</v>
      </c>
      <c r="AA19" s="313" t="n">
        <v>0</v>
      </c>
      <c r="AB19" s="313" t="n">
        <v>0</v>
      </c>
      <c r="AC19" s="313" t="n">
        <v>0</v>
      </c>
      <c r="AD19" s="313" t="n">
        <v>0</v>
      </c>
    </row>
    <row r="20">
      <c r="A20" s="274" t="inlineStr">
        <is>
          <t>Alex Young</t>
        </is>
      </c>
      <c r="B20" s="274" t="inlineStr">
        <is>
          <t>Developer</t>
        </is>
      </c>
      <c r="C20" s="274" t="inlineStr">
        <is>
          <t>Systems Applications</t>
        </is>
      </c>
      <c r="D20" s="275" t="n">
        <v>0</v>
      </c>
      <c r="E20" s="313" t="n">
        <v>0</v>
      </c>
      <c r="F20" s="313" t="n">
        <v>0</v>
      </c>
      <c r="G20" s="313" t="n">
        <v>0</v>
      </c>
      <c r="H20" s="313" t="n">
        <v>0</v>
      </c>
      <c r="I20" s="313" t="n">
        <v>0</v>
      </c>
      <c r="J20" s="313" t="n">
        <v>0</v>
      </c>
      <c r="K20" s="313" t="n">
        <v>0</v>
      </c>
      <c r="L20" s="313" t="n">
        <v>0</v>
      </c>
      <c r="M20" s="313" t="n">
        <v>0</v>
      </c>
      <c r="N20" s="313" t="n">
        <v>0</v>
      </c>
      <c r="O20" s="313" t="n">
        <v>0</v>
      </c>
      <c r="P20" s="313" t="n">
        <v>0</v>
      </c>
      <c r="Q20" s="313" t="n">
        <v>0</v>
      </c>
      <c r="R20" s="313" t="n">
        <v>0</v>
      </c>
      <c r="S20" s="313" t="n">
        <v>0</v>
      </c>
      <c r="T20" s="313" t="n">
        <v>0</v>
      </c>
      <c r="U20" s="313" t="n">
        <v>0</v>
      </c>
      <c r="V20" s="313" t="n">
        <v>0</v>
      </c>
      <c r="W20" s="313" t="n">
        <v>0</v>
      </c>
      <c r="X20" s="313" t="n">
        <v>0</v>
      </c>
      <c r="Y20" s="313" t="n">
        <v>0</v>
      </c>
      <c r="Z20" s="313" t="n">
        <v>0</v>
      </c>
      <c r="AA20" s="313" t="n">
        <v>0</v>
      </c>
      <c r="AB20" s="313" t="n">
        <v>0</v>
      </c>
      <c r="AC20" s="313" t="n">
        <v>0</v>
      </c>
      <c r="AD20" s="313" t="n">
        <v>0</v>
      </c>
    </row>
    <row r="21">
      <c r="A21" s="274" t="inlineStr">
        <is>
          <t>Colin Olson</t>
        </is>
      </c>
      <c r="B21" s="274" t="inlineStr">
        <is>
          <t>Developer</t>
        </is>
      </c>
      <c r="C21" s="274" t="inlineStr">
        <is>
          <t>Systems Applications</t>
        </is>
      </c>
      <c r="D21" s="275" t="n">
        <v>0</v>
      </c>
      <c r="E21" s="313" t="n">
        <v>0</v>
      </c>
      <c r="F21" s="313" t="n">
        <v>0</v>
      </c>
      <c r="G21" s="313" t="n">
        <v>0</v>
      </c>
      <c r="H21" s="313" t="n">
        <v>0</v>
      </c>
      <c r="I21" s="313" t="n">
        <v>0</v>
      </c>
      <c r="J21" s="313" t="n">
        <v>0</v>
      </c>
      <c r="K21" s="313" t="n">
        <v>0</v>
      </c>
      <c r="L21" s="313" t="n">
        <v>0</v>
      </c>
      <c r="M21" s="313" t="n">
        <v>0</v>
      </c>
      <c r="N21" s="313" t="n">
        <v>0</v>
      </c>
      <c r="O21" s="313" t="n">
        <v>0</v>
      </c>
      <c r="P21" s="313" t="n">
        <v>0</v>
      </c>
      <c r="Q21" s="313" t="n">
        <v>0</v>
      </c>
      <c r="R21" s="313" t="n">
        <v>0</v>
      </c>
      <c r="S21" s="313" t="n">
        <v>0</v>
      </c>
      <c r="T21" s="313" t="n">
        <v>0</v>
      </c>
      <c r="U21" s="313" t="n">
        <v>0</v>
      </c>
      <c r="V21" s="313" t="n">
        <v>0</v>
      </c>
      <c r="W21" s="313" t="n">
        <v>0</v>
      </c>
      <c r="X21" s="313" t="n">
        <v>0</v>
      </c>
      <c r="Y21" s="313" t="n">
        <v>0</v>
      </c>
      <c r="Z21" s="313" t="n">
        <v>0</v>
      </c>
      <c r="AA21" s="313" t="n">
        <v>0</v>
      </c>
      <c r="AB21" s="313" t="n">
        <v>0</v>
      </c>
      <c r="AC21" s="313" t="n">
        <v>0</v>
      </c>
      <c r="AD21" s="313" t="n">
        <v>0</v>
      </c>
    </row>
    <row r="22">
      <c r="A22" s="274" t="inlineStr">
        <is>
          <t>Jonathon Gonzalez</t>
        </is>
      </c>
      <c r="B22" s="274" t="inlineStr">
        <is>
          <t>Developer</t>
        </is>
      </c>
      <c r="C22" s="274" t="inlineStr">
        <is>
          <t>Systems Applications</t>
        </is>
      </c>
      <c r="D22" s="275" t="n">
        <v>0</v>
      </c>
      <c r="E22" s="313" t="n">
        <v>0</v>
      </c>
      <c r="F22" s="313" t="n">
        <v>0</v>
      </c>
      <c r="G22" s="313" t="n">
        <v>0</v>
      </c>
      <c r="H22" s="313" t="n">
        <v>0</v>
      </c>
      <c r="I22" s="313" t="n">
        <v>0</v>
      </c>
      <c r="J22" s="313" t="n">
        <v>0</v>
      </c>
      <c r="K22" s="313" t="n">
        <v>0</v>
      </c>
      <c r="L22" s="313" t="n">
        <v>0</v>
      </c>
      <c r="M22" s="313" t="n">
        <v>0</v>
      </c>
      <c r="N22" s="313" t="n">
        <v>0</v>
      </c>
      <c r="O22" s="313" t="n">
        <v>0</v>
      </c>
      <c r="P22" s="313" t="n">
        <v>0</v>
      </c>
      <c r="Q22" s="313" t="n">
        <v>0</v>
      </c>
      <c r="R22" s="313" t="n">
        <v>0</v>
      </c>
      <c r="S22" s="313" t="n">
        <v>0</v>
      </c>
      <c r="T22" s="313" t="n">
        <v>0</v>
      </c>
      <c r="U22" s="313" t="n">
        <v>0</v>
      </c>
      <c r="V22" s="313" t="n">
        <v>0</v>
      </c>
      <c r="W22" s="313" t="n">
        <v>0</v>
      </c>
      <c r="X22" s="313" t="n">
        <v>0</v>
      </c>
      <c r="Y22" s="313" t="n">
        <v>0</v>
      </c>
      <c r="Z22" s="313" t="n">
        <v>0</v>
      </c>
      <c r="AA22" s="313" t="n">
        <v>0</v>
      </c>
      <c r="AB22" s="313" t="n">
        <v>0</v>
      </c>
      <c r="AC22" s="313" t="n">
        <v>0</v>
      </c>
      <c r="AD22" s="313" t="n">
        <v>0</v>
      </c>
    </row>
    <row r="23">
      <c r="A23" s="274" t="inlineStr">
        <is>
          <t>Nick Smith</t>
        </is>
      </c>
      <c r="B23" s="274" t="inlineStr">
        <is>
          <t>Developer</t>
        </is>
      </c>
      <c r="C23" s="274" t="inlineStr">
        <is>
          <t>Systems Applications</t>
        </is>
      </c>
      <c r="D23" s="275" t="n">
        <v>0</v>
      </c>
      <c r="E23" s="313" t="n">
        <v>0</v>
      </c>
      <c r="F23" s="313" t="n">
        <v>0</v>
      </c>
      <c r="G23" s="313" t="n">
        <v>0</v>
      </c>
      <c r="H23" s="313" t="n">
        <v>0</v>
      </c>
      <c r="I23" s="313" t="n">
        <v>0</v>
      </c>
      <c r="J23" s="313" t="n">
        <v>0</v>
      </c>
      <c r="K23" s="313" t="n">
        <v>0</v>
      </c>
      <c r="L23" s="313" t="n">
        <v>0</v>
      </c>
      <c r="M23" s="313" t="n">
        <v>0</v>
      </c>
      <c r="N23" s="313" t="n">
        <v>0</v>
      </c>
      <c r="O23" s="313" t="n">
        <v>0</v>
      </c>
      <c r="P23" s="313" t="n">
        <v>0</v>
      </c>
      <c r="Q23" s="313" t="n">
        <v>0</v>
      </c>
      <c r="R23" s="313" t="n">
        <v>0</v>
      </c>
      <c r="S23" s="313" t="n">
        <v>0</v>
      </c>
      <c r="T23" s="313" t="n">
        <v>0</v>
      </c>
      <c r="U23" s="313" t="n">
        <v>0</v>
      </c>
      <c r="V23" s="313" t="n">
        <v>0</v>
      </c>
      <c r="W23" s="313" t="n">
        <v>0</v>
      </c>
      <c r="X23" s="313" t="n">
        <v>0</v>
      </c>
      <c r="Y23" s="313" t="n">
        <v>0</v>
      </c>
      <c r="Z23" s="313" t="n">
        <v>0</v>
      </c>
      <c r="AA23" s="313" t="n">
        <v>0</v>
      </c>
      <c r="AB23" s="313" t="n">
        <v>0</v>
      </c>
      <c r="AC23" s="313" t="n">
        <v>0</v>
      </c>
      <c r="AD23" s="313" t="n">
        <v>0</v>
      </c>
    </row>
    <row r="24">
      <c r="A24" s="274" t="inlineStr">
        <is>
          <t>Andrew Shaefer</t>
        </is>
      </c>
      <c r="B24" s="274" t="inlineStr">
        <is>
          <t>Infrastructure</t>
        </is>
      </c>
      <c r="C24" s="274" t="inlineStr">
        <is>
          <t>Infrastructure</t>
        </is>
      </c>
      <c r="D24" s="275" t="n">
        <v>0</v>
      </c>
      <c r="E24" s="313" t="n">
        <v>0</v>
      </c>
      <c r="F24" s="313" t="n">
        <v>0</v>
      </c>
      <c r="G24" s="313" t="n">
        <v>0</v>
      </c>
      <c r="H24" s="313" t="n">
        <v>0</v>
      </c>
      <c r="I24" s="313" t="n">
        <v>0</v>
      </c>
      <c r="J24" s="313" t="n">
        <v>0</v>
      </c>
      <c r="K24" s="313" t="n">
        <v>0</v>
      </c>
      <c r="L24" s="313" t="n">
        <v>0</v>
      </c>
      <c r="M24" s="313" t="n">
        <v>0</v>
      </c>
      <c r="N24" s="313" t="n">
        <v>0</v>
      </c>
      <c r="O24" s="313" t="n">
        <v>0</v>
      </c>
      <c r="P24" s="313" t="n">
        <v>0</v>
      </c>
      <c r="Q24" s="313" t="n">
        <v>0</v>
      </c>
      <c r="R24" s="313" t="n">
        <v>0</v>
      </c>
      <c r="S24" s="313" t="n">
        <v>0</v>
      </c>
      <c r="T24" s="313" t="n">
        <v>0</v>
      </c>
      <c r="U24" s="313" t="n">
        <v>0</v>
      </c>
      <c r="V24" s="313" t="n">
        <v>0</v>
      </c>
      <c r="W24" s="313" t="n">
        <v>0</v>
      </c>
      <c r="X24" s="313" t="n">
        <v>0</v>
      </c>
      <c r="Y24" s="313" t="n">
        <v>0</v>
      </c>
      <c r="Z24" s="313" t="n">
        <v>0</v>
      </c>
      <c r="AA24" s="313" t="n">
        <v>0</v>
      </c>
      <c r="AB24" s="313" t="n">
        <v>0</v>
      </c>
      <c r="AC24" s="313" t="n">
        <v>0</v>
      </c>
      <c r="AD24" s="313" t="n">
        <v>0</v>
      </c>
    </row>
    <row r="25">
      <c r="A25" s="274" t="inlineStr">
        <is>
          <t>Justin Senour</t>
        </is>
      </c>
      <c r="B25" s="274" t="inlineStr">
        <is>
          <t>Infrastructure</t>
        </is>
      </c>
      <c r="C25" s="274" t="inlineStr">
        <is>
          <t>Infrastructure</t>
        </is>
      </c>
      <c r="D25" s="275" t="n">
        <v>0</v>
      </c>
      <c r="E25" s="313" t="n">
        <v>0</v>
      </c>
      <c r="F25" s="313" t="n">
        <v>0</v>
      </c>
      <c r="G25" s="313" t="n">
        <v>0</v>
      </c>
      <c r="H25" s="313" t="n">
        <v>0</v>
      </c>
      <c r="I25" s="313" t="n">
        <v>0</v>
      </c>
      <c r="J25" s="313" t="n">
        <v>0</v>
      </c>
      <c r="K25" s="313" t="n">
        <v>0</v>
      </c>
      <c r="L25" s="313" t="n">
        <v>0</v>
      </c>
      <c r="M25" s="313" t="n">
        <v>0</v>
      </c>
      <c r="N25" s="313" t="n">
        <v>0</v>
      </c>
      <c r="O25" s="313" t="n">
        <v>0</v>
      </c>
      <c r="P25" s="313" t="n">
        <v>0</v>
      </c>
      <c r="Q25" s="313" t="n">
        <v>0</v>
      </c>
      <c r="R25" s="313" t="n">
        <v>0</v>
      </c>
      <c r="S25" s="313" t="n">
        <v>0</v>
      </c>
      <c r="T25" s="313" t="n">
        <v>0</v>
      </c>
      <c r="U25" s="313" t="n">
        <v>0</v>
      </c>
      <c r="V25" s="313" t="n">
        <v>0</v>
      </c>
      <c r="W25" s="313" t="n">
        <v>0</v>
      </c>
      <c r="X25" s="313" t="n">
        <v>0</v>
      </c>
      <c r="Y25" s="313" t="n">
        <v>0</v>
      </c>
      <c r="Z25" s="313" t="n">
        <v>0</v>
      </c>
      <c r="AA25" s="313" t="n">
        <v>0</v>
      </c>
      <c r="AB25" s="313" t="n">
        <v>0</v>
      </c>
      <c r="AC25" s="313" t="n">
        <v>0</v>
      </c>
      <c r="AD25" s="313" t="n">
        <v>0</v>
      </c>
    </row>
    <row r="26">
      <c r="A26" s="274" t="inlineStr">
        <is>
          <t>Michael House</t>
        </is>
      </c>
      <c r="B26" s="274" t="inlineStr">
        <is>
          <t>Infrastructure</t>
        </is>
      </c>
      <c r="C26" s="274" t="inlineStr">
        <is>
          <t>Infrastructure</t>
        </is>
      </c>
      <c r="D26" s="275" t="n">
        <v>0</v>
      </c>
      <c r="E26" s="313" t="n">
        <v>0</v>
      </c>
      <c r="F26" s="313" t="n">
        <v>0</v>
      </c>
      <c r="G26" s="313" t="n">
        <v>0</v>
      </c>
      <c r="H26" s="313" t="n">
        <v>0</v>
      </c>
      <c r="I26" s="313" t="n">
        <v>0</v>
      </c>
      <c r="J26" s="313" t="n">
        <v>0</v>
      </c>
      <c r="K26" s="313" t="n">
        <v>0</v>
      </c>
      <c r="L26" s="313" t="n">
        <v>0</v>
      </c>
      <c r="M26" s="313" t="n">
        <v>0</v>
      </c>
      <c r="N26" s="313" t="n">
        <v>0</v>
      </c>
      <c r="O26" s="313" t="n">
        <v>0</v>
      </c>
      <c r="P26" s="313" t="n">
        <v>0</v>
      </c>
      <c r="Q26" s="313" t="n">
        <v>0</v>
      </c>
      <c r="R26" s="313" t="n">
        <v>0</v>
      </c>
      <c r="S26" s="313" t="n">
        <v>0</v>
      </c>
      <c r="T26" s="313" t="n">
        <v>0</v>
      </c>
      <c r="U26" s="313" t="n">
        <v>0</v>
      </c>
      <c r="V26" s="313" t="n">
        <v>0</v>
      </c>
      <c r="W26" s="313" t="n">
        <v>0</v>
      </c>
      <c r="X26" s="313" t="n">
        <v>0</v>
      </c>
      <c r="Y26" s="313" t="n">
        <v>0</v>
      </c>
      <c r="Z26" s="313" t="n">
        <v>0</v>
      </c>
      <c r="AA26" s="313" t="n">
        <v>0</v>
      </c>
      <c r="AB26" s="313" t="n">
        <v>0</v>
      </c>
      <c r="AC26" s="313" t="n">
        <v>0</v>
      </c>
      <c r="AD26" s="313" t="n">
        <v>0</v>
      </c>
    </row>
    <row r="27">
      <c r="A27" s="274" t="inlineStr">
        <is>
          <t>Donna Wiedemeier</t>
        </is>
      </c>
      <c r="B27" s="274" t="inlineStr">
        <is>
          <t>WMS Consultant</t>
        </is>
      </c>
      <c r="C27" s="274" t="inlineStr">
        <is>
          <t>WMS</t>
        </is>
      </c>
      <c r="D27" s="275" t="n">
        <v>0</v>
      </c>
      <c r="E27" s="313" t="n">
        <v>0</v>
      </c>
      <c r="F27" s="313" t="n">
        <v>0</v>
      </c>
      <c r="G27" s="313" t="n">
        <v>0</v>
      </c>
      <c r="H27" s="313" t="n">
        <v>0</v>
      </c>
      <c r="I27" s="313" t="n">
        <v>0</v>
      </c>
      <c r="J27" s="313" t="n">
        <v>0</v>
      </c>
      <c r="K27" s="313" t="n">
        <v>0</v>
      </c>
      <c r="L27" s="313" t="n">
        <v>0</v>
      </c>
      <c r="M27" s="313" t="n">
        <v>0</v>
      </c>
      <c r="N27" s="313" t="n">
        <v>0</v>
      </c>
      <c r="O27" s="313" t="n">
        <v>0</v>
      </c>
      <c r="P27" s="313" t="n">
        <v>0</v>
      </c>
      <c r="Q27" s="313" t="n">
        <v>0</v>
      </c>
      <c r="R27" s="313" t="n">
        <v>0</v>
      </c>
      <c r="S27" s="313" t="n">
        <v>0</v>
      </c>
      <c r="T27" s="313" t="n">
        <v>0</v>
      </c>
      <c r="U27" s="313" t="n">
        <v>0</v>
      </c>
      <c r="V27" s="313" t="n">
        <v>0</v>
      </c>
      <c r="W27" s="313" t="n">
        <v>0</v>
      </c>
      <c r="X27" s="313" t="n">
        <v>0</v>
      </c>
      <c r="Y27" s="313" t="n">
        <v>0</v>
      </c>
      <c r="Z27" s="313" t="n">
        <v>0</v>
      </c>
      <c r="AA27" s="313" t="n">
        <v>0</v>
      </c>
      <c r="AB27" s="313" t="n">
        <v>0</v>
      </c>
      <c r="AC27" s="313" t="n">
        <v>0</v>
      </c>
      <c r="AD27" s="313" t="n">
        <v>0</v>
      </c>
    </row>
  </sheetData>
  <mergeCells count="1">
    <mergeCell ref="A1:A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8" customWidth="1" min="4" max="4"/>
    <col width="12" customWidth="1" min="5" max="5"/>
    <col width="12" customWidth="1" min="6" max="6"/>
    <col width="10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</cols>
  <sheetData>
    <row r="1">
      <c r="A1" s="270" t="inlineStr">
        <is>
          <t>ETE IT PMO — Project Gantt Chart</t>
        </is>
      </c>
    </row>
    <row r="2">
      <c r="A2" s="271" t="inlineStr">
        <is>
          <t>Generated: 03/31/2026  |  Color = priority</t>
        </is>
      </c>
    </row>
    <row r="3">
      <c r="AF3" s="320" t="inlineStr">
        <is>
          <t>NOW</t>
        </is>
      </c>
    </row>
    <row r="4">
      <c r="A4" s="300" t="inlineStr">
        <is>
          <t>ID</t>
        </is>
      </c>
      <c r="B4" s="300" t="inlineStr">
        <is>
          <t>Project Name</t>
        </is>
      </c>
      <c r="C4" s="300" t="inlineStr">
        <is>
          <t>Priority</t>
        </is>
      </c>
      <c r="D4" s="300" t="inlineStr">
        <is>
          <t>Est Hrs</t>
        </is>
      </c>
      <c r="E4" s="300" t="inlineStr">
        <is>
          <t>Start</t>
        </is>
      </c>
      <c r="F4" s="300" t="inlineStr">
        <is>
          <t>End</t>
        </is>
      </c>
      <c r="G4" s="300" t="inlineStr">
        <is>
          <t>Dur</t>
        </is>
      </c>
      <c r="H4" s="321" t="inlineStr">
        <is>
          <t>10/13</t>
        </is>
      </c>
      <c r="I4" s="321" t="inlineStr">
        <is>
          <t>10/20</t>
        </is>
      </c>
      <c r="J4" s="321" t="inlineStr">
        <is>
          <t>10/27</t>
        </is>
      </c>
      <c r="K4" s="321" t="inlineStr">
        <is>
          <t>11/03</t>
        </is>
      </c>
      <c r="L4" s="321" t="inlineStr">
        <is>
          <t>11/10</t>
        </is>
      </c>
      <c r="M4" s="321" t="inlineStr">
        <is>
          <t>11/17</t>
        </is>
      </c>
      <c r="N4" s="321" t="inlineStr">
        <is>
          <t>11/24</t>
        </is>
      </c>
      <c r="O4" s="321" t="inlineStr">
        <is>
          <t>12/01</t>
        </is>
      </c>
      <c r="P4" s="321" t="inlineStr">
        <is>
          <t>12/08</t>
        </is>
      </c>
      <c r="Q4" s="321" t="inlineStr">
        <is>
          <t>12/15</t>
        </is>
      </c>
      <c r="R4" s="321" t="inlineStr">
        <is>
          <t>12/22</t>
        </is>
      </c>
      <c r="S4" s="321" t="inlineStr">
        <is>
          <t>12/29</t>
        </is>
      </c>
      <c r="T4" s="321" t="inlineStr">
        <is>
          <t>01/05</t>
        </is>
      </c>
      <c r="U4" s="321" t="inlineStr">
        <is>
          <t>01/12</t>
        </is>
      </c>
      <c r="V4" s="321" t="inlineStr">
        <is>
          <t>01/19</t>
        </is>
      </c>
      <c r="W4" s="321" t="inlineStr">
        <is>
          <t>01/26</t>
        </is>
      </c>
      <c r="X4" s="321" t="inlineStr">
        <is>
          <t>02/02</t>
        </is>
      </c>
      <c r="Y4" s="321" t="inlineStr">
        <is>
          <t>02/09</t>
        </is>
      </c>
      <c r="Z4" s="321" t="inlineStr">
        <is>
          <t>02/16</t>
        </is>
      </c>
      <c r="AA4" s="321" t="inlineStr">
        <is>
          <t>02/23</t>
        </is>
      </c>
      <c r="AB4" s="321" t="inlineStr">
        <is>
          <t>03/02</t>
        </is>
      </c>
      <c r="AC4" s="321" t="inlineStr">
        <is>
          <t>03/09</t>
        </is>
      </c>
      <c r="AD4" s="321" t="inlineStr">
        <is>
          <t>03/16</t>
        </is>
      </c>
      <c r="AE4" s="321" t="inlineStr">
        <is>
          <t>03/23</t>
        </is>
      </c>
      <c r="AF4" s="321" t="inlineStr">
        <is>
          <t>03/30</t>
        </is>
      </c>
      <c r="AG4" s="321" t="inlineStr">
        <is>
          <t>04/06</t>
        </is>
      </c>
      <c r="AH4" s="321" t="inlineStr">
        <is>
          <t>04/13</t>
        </is>
      </c>
      <c r="AI4" s="321" t="inlineStr">
        <is>
          <t>04/20</t>
        </is>
      </c>
      <c r="AJ4" s="321" t="inlineStr">
        <is>
          <t>04/27</t>
        </is>
      </c>
      <c r="AK4" s="321" t="inlineStr">
        <is>
          <t>05/04</t>
        </is>
      </c>
      <c r="AL4" s="321" t="inlineStr">
        <is>
          <t>05/11</t>
        </is>
      </c>
      <c r="AM4" s="321" t="inlineStr">
        <is>
          <t>05/18</t>
        </is>
      </c>
      <c r="AN4" s="321" t="inlineStr">
        <is>
          <t>05/25</t>
        </is>
      </c>
      <c r="AO4" s="321" t="inlineStr">
        <is>
          <t>06/01</t>
        </is>
      </c>
      <c r="AP4" s="321" t="inlineStr">
        <is>
          <t>06/08</t>
        </is>
      </c>
      <c r="AQ4" s="321" t="inlineStr">
        <is>
          <t>06/15</t>
        </is>
      </c>
      <c r="AR4" s="321" t="inlineStr">
        <is>
          <t>06/22</t>
        </is>
      </c>
      <c r="AS4" s="321" t="inlineStr">
        <is>
          <t>06/29</t>
        </is>
      </c>
      <c r="AT4" s="321" t="inlineStr">
        <is>
          <t>07/06</t>
        </is>
      </c>
      <c r="AU4" s="321" t="inlineStr">
        <is>
          <t>07/13</t>
        </is>
      </c>
      <c r="AV4" s="321" t="inlineStr">
        <is>
          <t>07/20</t>
        </is>
      </c>
      <c r="AW4" s="321" t="inlineStr">
        <is>
          <t>07/27</t>
        </is>
      </c>
    </row>
    <row r="5">
      <c r="A5" s="303" t="inlineStr">
        <is>
          <t>ETE-124</t>
        </is>
      </c>
      <c r="B5" s="322" t="inlineStr">
        <is>
          <t>Clean Up Return Loads</t>
        </is>
      </c>
      <c r="C5" s="275" t="inlineStr">
        <is>
          <t>Highest</t>
        </is>
      </c>
      <c r="D5" s="275" t="n">
        <v>200</v>
      </c>
      <c r="E5" s="275" t="inlineStr">
        <is>
          <t>TBD</t>
        </is>
      </c>
      <c r="F5" s="275" t="inlineStr">
        <is>
          <t>TBD</t>
        </is>
      </c>
      <c r="G5" s="275" t="inlineStr"/>
    </row>
    <row r="6">
      <c r="A6" s="303" t="inlineStr">
        <is>
          <t>ETE-37</t>
        </is>
      </c>
      <c r="B6" s="322" t="inlineStr">
        <is>
          <t>Magic Search in BuyETE</t>
        </is>
      </c>
      <c r="C6" s="275" t="inlineStr">
        <is>
          <t>Highest</t>
        </is>
      </c>
      <c r="D6" s="275" t="n">
        <v>40</v>
      </c>
      <c r="E6" s="275" t="inlineStr">
        <is>
          <t>TBD</t>
        </is>
      </c>
      <c r="F6" s="275" t="inlineStr">
        <is>
          <t>TBD</t>
        </is>
      </c>
      <c r="G6" s="275" t="inlineStr"/>
    </row>
    <row r="7">
      <c r="A7" s="303" t="inlineStr">
        <is>
          <t>ETE-97</t>
        </is>
      </c>
      <c r="B7" s="322" t="inlineStr">
        <is>
          <t>Standard Order Process Notifications</t>
        </is>
      </c>
      <c r="C7" s="275" t="inlineStr">
        <is>
          <t>Highest</t>
        </is>
      </c>
      <c r="D7" s="275" t="n">
        <v>200</v>
      </c>
      <c r="E7" s="275" t="inlineStr">
        <is>
          <t>TBD</t>
        </is>
      </c>
      <c r="F7" s="275" t="inlineStr">
        <is>
          <t>TBD</t>
        </is>
      </c>
      <c r="G7" s="275" t="inlineStr"/>
    </row>
    <row r="8">
      <c r="A8" s="303" t="inlineStr">
        <is>
          <t>ETE-10</t>
        </is>
      </c>
      <c r="B8" s="322" t="inlineStr">
        <is>
          <t>Upload Utility for Planning Fields</t>
        </is>
      </c>
      <c r="C8" s="275" t="inlineStr">
        <is>
          <t>Highest</t>
        </is>
      </c>
      <c r="D8" s="275" t="n">
        <v>80</v>
      </c>
      <c r="E8" s="275" t="inlineStr">
        <is>
          <t>TBD</t>
        </is>
      </c>
      <c r="F8" s="275" t="inlineStr">
        <is>
          <t>TBD</t>
        </is>
      </c>
      <c r="G8" s="275" t="inlineStr"/>
    </row>
    <row r="9">
      <c r="A9" s="303" t="inlineStr">
        <is>
          <t>ETE-68</t>
        </is>
      </c>
      <c r="B9" s="322" t="inlineStr">
        <is>
          <t>Catalog API Rust2Python</t>
        </is>
      </c>
      <c r="C9" s="275" t="inlineStr">
        <is>
          <t>High</t>
        </is>
      </c>
      <c r="D9" s="275" t="n">
        <v>640</v>
      </c>
      <c r="E9" s="275" t="inlineStr">
        <is>
          <t>11/17/2025</t>
        </is>
      </c>
      <c r="F9" s="275" t="inlineStr">
        <is>
          <t>04/24/2026</t>
        </is>
      </c>
      <c r="G9" s="275" t="inlineStr">
        <is>
          <t>23w</t>
        </is>
      </c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</row>
    <row r="10">
      <c r="A10" s="303" t="inlineStr">
        <is>
          <t>ETE-19</t>
        </is>
      </c>
      <c r="B10" s="322" t="inlineStr">
        <is>
          <t>Changes to AR Aging Report</t>
        </is>
      </c>
      <c r="C10" s="275" t="inlineStr">
        <is>
          <t>High</t>
        </is>
      </c>
      <c r="D10" s="275" t="n">
        <v>120</v>
      </c>
      <c r="E10" s="275" t="inlineStr">
        <is>
          <t>02/23/2026</t>
        </is>
      </c>
      <c r="F10" s="275" t="inlineStr">
        <is>
          <t>04/17/2026</t>
        </is>
      </c>
      <c r="G10" s="275" t="inlineStr">
        <is>
          <t>8w</t>
        </is>
      </c>
      <c r="AA10" s="324" t="n"/>
      <c r="AB10" s="324" t="n"/>
      <c r="AC10" s="324" t="n"/>
      <c r="AD10" s="324" t="n"/>
      <c r="AE10" s="324" t="n"/>
      <c r="AF10" s="324" t="n"/>
      <c r="AG10" s="324" t="n"/>
      <c r="AH10" s="324" t="n"/>
    </row>
    <row r="11">
      <c r="A11" s="303" t="inlineStr">
        <is>
          <t>ETE-83</t>
        </is>
      </c>
      <c r="B11" s="322" t="inlineStr">
        <is>
          <t>Customer Master Data Cleanup</t>
        </is>
      </c>
      <c r="C11" s="275" t="inlineStr">
        <is>
          <t>High</t>
        </is>
      </c>
      <c r="D11" s="275" t="n">
        <v>1480</v>
      </c>
      <c r="E11" s="275" t="inlineStr">
        <is>
          <t>10/14/2025</t>
        </is>
      </c>
      <c r="F11" s="275" t="inlineStr">
        <is>
          <t>06/01/2026</t>
        </is>
      </c>
      <c r="G11" s="275" t="inlineStr">
        <is>
          <t>33w</t>
        </is>
      </c>
      <c r="H11" s="324" t="n"/>
      <c r="I11" s="324" t="n"/>
      <c r="J11" s="324" t="n"/>
      <c r="K11" s="324" t="n"/>
      <c r="L11" s="324" t="n"/>
      <c r="M11" s="324" t="n"/>
      <c r="N11" s="324" t="n"/>
      <c r="O11" s="324" t="n"/>
      <c r="P11" s="324" t="n"/>
      <c r="Q11" s="324" t="n"/>
      <c r="R11" s="324" t="n"/>
      <c r="S11" s="324" t="n"/>
      <c r="T11" s="324" t="n"/>
      <c r="U11" s="324" t="n"/>
      <c r="V11" s="324" t="n"/>
      <c r="W11" s="324" t="n"/>
      <c r="X11" s="324" t="n"/>
      <c r="Y11" s="324" t="n"/>
      <c r="Z11" s="324" t="n"/>
      <c r="AA11" s="324" t="n"/>
      <c r="AB11" s="324" t="n"/>
      <c r="AC11" s="324" t="n"/>
      <c r="AD11" s="324" t="n"/>
      <c r="AE11" s="324" t="n"/>
      <c r="AF11" s="324" t="n"/>
      <c r="AG11" s="324" t="n"/>
      <c r="AH11" s="324" t="n"/>
      <c r="AI11" s="324" t="n"/>
      <c r="AJ11" s="324" t="n"/>
      <c r="AK11" s="324" t="n"/>
      <c r="AL11" s="324" t="n"/>
      <c r="AM11" s="324" t="n"/>
      <c r="AN11" s="324" t="n"/>
      <c r="AO11" s="324" t="n"/>
    </row>
    <row r="12">
      <c r="A12" s="303" t="inlineStr">
        <is>
          <t>ETE-76</t>
        </is>
      </c>
      <c r="B12" s="322" t="inlineStr">
        <is>
          <t>FedEx Web Services API</t>
        </is>
      </c>
      <c r="C12" s="275" t="inlineStr">
        <is>
          <t>High</t>
        </is>
      </c>
      <c r="D12" s="275" t="n">
        <v>40</v>
      </c>
      <c r="E12" s="275" t="inlineStr">
        <is>
          <t>03/03/2026</t>
        </is>
      </c>
      <c r="F12" s="275" t="inlineStr">
        <is>
          <t>03/13/2026</t>
        </is>
      </c>
      <c r="G12" s="275" t="inlineStr">
        <is>
          <t>1w</t>
        </is>
      </c>
      <c r="AB12" s="324" t="n"/>
      <c r="AC12" s="324" t="n"/>
    </row>
    <row r="13">
      <c r="A13" s="303" t="inlineStr">
        <is>
          <t>ETE-48</t>
        </is>
      </c>
      <c r="B13" s="322" t="inlineStr">
        <is>
          <t>System Connection Syteline-VKS</t>
        </is>
      </c>
      <c r="C13" s="275" t="inlineStr">
        <is>
          <t>High</t>
        </is>
      </c>
      <c r="D13" s="275" t="n">
        <v>240</v>
      </c>
      <c r="E13" s="275" t="inlineStr">
        <is>
          <t>02/15/2026</t>
        </is>
      </c>
      <c r="F13" s="275" t="inlineStr">
        <is>
          <t>06/30/2026</t>
        </is>
      </c>
      <c r="G13" s="275" t="inlineStr">
        <is>
          <t>19w</t>
        </is>
      </c>
      <c r="Y13" s="324" t="n"/>
      <c r="Z13" s="324" t="n"/>
      <c r="AA13" s="324" t="n"/>
      <c r="AB13" s="324" t="n"/>
      <c r="AC13" s="324" t="n"/>
      <c r="AD13" s="324" t="n"/>
      <c r="AE13" s="324" t="n"/>
      <c r="AF13" s="324" t="n"/>
      <c r="AG13" s="324" t="n"/>
      <c r="AH13" s="324" t="n"/>
      <c r="AI13" s="324" t="n"/>
      <c r="AJ13" s="324" t="n"/>
      <c r="AK13" s="324" t="n"/>
      <c r="AL13" s="324" t="n"/>
      <c r="AM13" s="324" t="n"/>
      <c r="AN13" s="324" t="n"/>
      <c r="AO13" s="324" t="n"/>
      <c r="AP13" s="324" t="n"/>
      <c r="AQ13" s="324" t="n"/>
      <c r="AR13" s="324" t="n"/>
      <c r="AS13" s="324" t="n"/>
    </row>
    <row r="14">
      <c r="A14" s="303" t="inlineStr">
        <is>
          <t>ETE-100</t>
        </is>
      </c>
      <c r="B14" s="322" t="inlineStr">
        <is>
          <t>ATSG Expired Members Self-Payment</t>
        </is>
      </c>
      <c r="C14" s="275" t="inlineStr">
        <is>
          <t>Medium</t>
        </is>
      </c>
      <c r="D14" s="275" t="n">
        <v>200</v>
      </c>
      <c r="E14" s="275" t="inlineStr">
        <is>
          <t>TBD</t>
        </is>
      </c>
      <c r="F14" s="275" t="inlineStr">
        <is>
          <t>TBD</t>
        </is>
      </c>
      <c r="G14" s="275" t="inlineStr"/>
    </row>
    <row r="15">
      <c r="A15" s="303" t="inlineStr">
        <is>
          <t>ETE-49</t>
        </is>
      </c>
      <c r="B15" s="322" t="inlineStr">
        <is>
          <t>Marketing: STE Rewards Tier</t>
        </is>
      </c>
      <c r="C15" s="275" t="inlineStr">
        <is>
          <t>Medium</t>
        </is>
      </c>
      <c r="D15" s="275" t="n">
        <v>240</v>
      </c>
      <c r="E15" s="275" t="inlineStr">
        <is>
          <t>TBD</t>
        </is>
      </c>
      <c r="F15" s="275" t="inlineStr">
        <is>
          <t>TBD</t>
        </is>
      </c>
      <c r="G15" s="275" t="inlineStr"/>
    </row>
    <row r="16">
      <c r="A16" s="303" t="inlineStr">
        <is>
          <t>ETE-7</t>
        </is>
      </c>
      <c r="B16" s="322" t="inlineStr">
        <is>
          <t>Outsourced Unit Core Accounting</t>
        </is>
      </c>
      <c r="C16" s="275" t="inlineStr">
        <is>
          <t>Medium</t>
        </is>
      </c>
      <c r="D16" s="275" t="n">
        <v>640</v>
      </c>
      <c r="E16" s="275" t="inlineStr">
        <is>
          <t>TBD</t>
        </is>
      </c>
      <c r="F16" s="275" t="inlineStr">
        <is>
          <t>TBD</t>
        </is>
      </c>
      <c r="G16" s="275" t="inlineStr"/>
    </row>
    <row r="17">
      <c r="A17" s="303" t="inlineStr">
        <is>
          <t>ETE-16</t>
        </is>
      </c>
      <c r="B17" s="322" t="inlineStr">
        <is>
          <t>Partial Pay w/ CC from WMERP</t>
        </is>
      </c>
      <c r="C17" s="275" t="inlineStr">
        <is>
          <t>Medium</t>
        </is>
      </c>
      <c r="D17" s="275" t="n">
        <v>120</v>
      </c>
      <c r="E17" s="275" t="inlineStr">
        <is>
          <t>TBD</t>
        </is>
      </c>
      <c r="F17" s="275" t="inlineStr">
        <is>
          <t>TBD</t>
        </is>
      </c>
      <c r="G17" s="275" t="inlineStr"/>
    </row>
    <row r="18">
      <c r="A18" s="303" t="inlineStr">
        <is>
          <t>ETE-52</t>
        </is>
      </c>
      <c r="B18" s="322" t="inlineStr">
        <is>
          <t>SWIMS/Syteline Reporting</t>
        </is>
      </c>
      <c r="C18" s="275" t="inlineStr">
        <is>
          <t>Medium</t>
        </is>
      </c>
      <c r="D18" s="275" t="n">
        <v>40</v>
      </c>
      <c r="E18" s="275" t="inlineStr">
        <is>
          <t>TBD</t>
        </is>
      </c>
      <c r="F18" s="275" t="inlineStr">
        <is>
          <t>TBD</t>
        </is>
      </c>
      <c r="G18" s="275" t="inlineStr"/>
    </row>
    <row r="20">
      <c r="A20" s="326" t="inlineStr">
        <is>
          <t>Legend:</t>
        </is>
      </c>
      <c r="B20" s="327" t="inlineStr">
        <is>
          <t>Highest</t>
        </is>
      </c>
      <c r="D20" s="328" t="inlineStr">
        <is>
          <t>High</t>
        </is>
      </c>
      <c r="F20" s="329" t="inlineStr">
        <is>
          <t>Medium</t>
        </is>
      </c>
      <c r="H20" s="330" t="inlineStr">
        <is>
          <t>Low</t>
        </is>
      </c>
    </row>
  </sheetData>
  <mergeCells count="1">
    <mergeCell ref="A1:AZ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85546875" customWidth="1" min="1" max="1"/>
    <col width="95.28515625" customWidth="1" min="2" max="2"/>
  </cols>
  <sheetData>
    <row r="1" ht="21" customHeight="1">
      <c r="A1" s="216" t="inlineStr">
        <is>
          <t>ETE IT PMO — Resource Model Guide</t>
        </is>
      </c>
      <c r="B1" s="219" t="n"/>
    </row>
    <row r="2">
      <c r="A2" s="220" t="inlineStr">
        <is>
          <t>A plain-English explanation of how the Resource Model works, what each sheet does, and how to use it.</t>
        </is>
      </c>
      <c r="B2" s="219" t="n"/>
    </row>
    <row r="3">
      <c r="A3" s="221" t="n"/>
      <c r="B3" s="219" t="n"/>
    </row>
    <row r="4" ht="35.25" customHeight="1">
      <c r="A4" s="222" t="inlineStr">
        <is>
          <t>THE BIG PICTURE</t>
        </is>
      </c>
      <c r="B4" s="223" t="n"/>
    </row>
    <row r="5" ht="35.25" customHeight="1">
      <c r="A5" s="224" t="inlineStr">
        <is>
          <t>What is this?</t>
        </is>
      </c>
      <c r="B5" s="233" t="inlineStr">
        <is>
          <t>A set of 4 connected sheets that answer: "Do we have enough people for all these projects, and when will we be in trouble?"</t>
        </is>
      </c>
    </row>
    <row r="6" ht="35.25" customHeight="1">
      <c r="A6" s="224" t="inlineStr">
        <is>
          <t>Why does it exist?</t>
        </is>
      </c>
      <c r="B6" s="233" t="inlineStr">
        <is>
          <t>The Portfolio shows WHAT projects we have. The Resource Model shows WHETHER we can actually staff them — and when bottlenecks will hit.</t>
        </is>
      </c>
    </row>
    <row r="7" ht="35.25" customHeight="1">
      <c r="A7" s="224" t="inlineStr">
        <is>
          <t>Who should use it?</t>
        </is>
      </c>
      <c r="B7" s="233" t="inlineStr">
        <is>
          <t>PMO leads for weekly planning, resource decisions, and "what if" scenario testing (hiring, project delays, reprioritization).</t>
        </is>
      </c>
    </row>
    <row r="8" ht="35.25" customHeight="1">
      <c r="A8" s="224" t="inlineStr">
        <is>
          <t>How do the sheets connect?</t>
        </is>
      </c>
      <c r="B8" s="233" t="inlineStr">
        <is>
          <t>RM_Assumptions (rules) → RM_Demand (how much work) → RM_SupplyVsDemand (big picture) → RM_WeeklyHeatmap (when exactly).</t>
        </is>
      </c>
    </row>
    <row r="9" ht="35.25" customHeight="1">
      <c r="A9" s="224" t="inlineStr">
        <is>
          <t>What are the blue cells?</t>
        </is>
      </c>
      <c r="B9" s="233" t="inlineStr">
        <is>
          <t>Any cell with a blue/light blue background is an INPUT you can change. These are your scenario levers — adjust them and the model recalculates automatically.</t>
        </is>
      </c>
    </row>
    <row r="10" ht="35.25" customHeight="1">
      <c r="A10" s="225" t="n"/>
      <c r="B10" s="233" t="n"/>
    </row>
    <row r="11" ht="35.25" customHeight="1">
      <c r="A11" s="226" t="inlineStr">
        <is>
          <t>SHEET-BY-SHEET EXPLANATION</t>
        </is>
      </c>
      <c r="B11" s="234" t="n"/>
    </row>
    <row r="12" ht="35.25" customHeight="1">
      <c r="A12" s="225" t="n"/>
      <c r="B12" s="233" t="n"/>
    </row>
    <row r="13" ht="35.25" customHeight="1">
      <c r="A13" s="224" t="inlineStr">
        <is>
          <t>📋 RM_Assumptions</t>
        </is>
      </c>
      <c r="B13" s="235" t="inlineStr">
        <is>
          <t>"What are our rules?" — This is the control panel for the whole model.</t>
        </is>
      </c>
    </row>
    <row r="14" ht="35.25" customHeight="1">
      <c r="A14" s="227" t="inlineStr">
        <is>
          <t xml:space="preserve">  Time Allocation (rows 6-12)</t>
        </is>
      </c>
      <c r="B14" s="233" t="inlineStr">
        <is>
          <t>Each person works 40 hrs/week, but not all of it goes to projects. Admin (10%) and Break/Fix support (10%) eat into that, leaving 80% = 32 hrs/week for project work. You can change these percentages.</t>
        </is>
      </c>
    </row>
    <row r="15" ht="35.25" customHeight="1">
      <c r="A15" s="227" t="inlineStr">
        <is>
          <t xml:space="preserve">  SDLC Phase Weights (row 16)</t>
        </is>
      </c>
      <c r="B15" s="233" t="inlineStr">
        <is>
          <t>A project isn't evenly spread. It's 10% Discovery → 10% Planning → 15% Design → 30% Build → 20% Test → 15% Deploy. These must add to 100%. Change them to match your actual project lifecycle.</t>
        </is>
      </c>
    </row>
    <row r="16" ht="35.25" customHeight="1">
      <c r="A16" s="227" t="inlineStr">
        <is>
          <t xml:space="preserve">  Role Effort by Phase (rows 21-28)</t>
        </is>
      </c>
      <c r="B16" s="233" t="inlineStr">
        <is>
          <t>THIS IS THE KEY INSIGHT. A DBA isn't equally busy throughout a project. They barely touch Discovery (5%) but are heavily loaded in Build (30%). A BA is the opposite — 30% in Discovery, only 10% in Build. These percentages drive the weekly demand spikes in the heatmap.</t>
        </is>
      </c>
    </row>
    <row r="17" ht="35.25" customHeight="1">
      <c r="A17" s="227" t="inlineStr">
        <is>
          <t xml:space="preserve">  Team Supply (rows 30-38)</t>
        </is>
      </c>
      <c r="B17" s="233" t="inlineStr">
        <is>
          <t>Auto-counts headcount and hours from the Team Roster. You don't edit these — they update when Team Roster changes.</t>
        </is>
      </c>
    </row>
    <row r="18" ht="35.25" customHeight="1">
      <c r="A18" s="225" t="n"/>
      <c r="B18" s="233" t="n"/>
    </row>
    <row r="19" ht="35.25" customHeight="1">
      <c r="A19" s="224" t="inlineStr">
        <is>
          <t>📊 RM_Demand</t>
        </is>
      </c>
      <c r="B19" s="235" t="inlineStr">
        <is>
          <t>"How much work is coming?" — Calculates total demand from active projects.</t>
        </is>
      </c>
    </row>
    <row r="20" ht="35.25" customHeight="1">
      <c r="A20" s="227" t="inlineStr">
        <is>
          <t xml:space="preserve">  Active Projects (rows 6-18)</t>
        </is>
      </c>
      <c r="B20" s="233" t="inlineStr">
        <is>
          <t>Automatically pulls all non-complete, non-postponed projects from the Portfolio. You don't edit these rows — they update when Portfolio changes.</t>
        </is>
      </c>
    </row>
    <row r="21" ht="35.25" customHeight="1">
      <c r="A21" s="227" t="inlineStr">
        <is>
          <t xml:space="preserve">  Total Demand by Role (rows 24-30)</t>
        </is>
      </c>
      <c r="B21" s="233" t="inlineStr">
        <is>
          <t>For each role, adds up: (Project Est. Hours × Role Allocation %) across all active projects. Shows you the total hours each role needs to deliver.</t>
        </is>
      </c>
    </row>
    <row r="22" ht="35.25" customHeight="1">
      <c r="A22" s="227" t="inlineStr">
        <is>
          <t xml:space="preserve">  Project × Role Detail (rows 36-48)</t>
        </is>
      </c>
      <c r="B22" s="233" t="inlineStr">
        <is>
          <t>A breakdown showing exactly how many hours each project needs from each role. Useful for seeing which projects are driving the most demand.</t>
        </is>
      </c>
    </row>
    <row r="23" ht="35.25" customHeight="1">
      <c r="A23" s="225" t="n"/>
      <c r="B23" s="233" t="n"/>
    </row>
    <row r="24" ht="35.25" customHeight="1">
      <c r="A24" s="224" t="inlineStr">
        <is>
          <t>⚖️ RM_SupplyVsDemand</t>
        </is>
      </c>
      <c r="B24" s="235" t="inlineStr">
        <is>
          <t>"Are we OK overall?" — A summary scorecard comparing supply to demand.</t>
        </is>
      </c>
    </row>
    <row r="25" ht="35.25" customHeight="1">
      <c r="A25" s="227" t="inlineStr">
        <is>
          <t xml:space="preserve">  Capacity Scorecard (rows 5-7)</t>
        </is>
      </c>
      <c r="B25" s="233" t="inlineStr">
        <is>
          <t>The headline numbers: Total Supply hrs/wk, Total Demand hrs/wk, Net Gap (+ means surplus, - means deficit), and Overall Utilization %.</t>
        </is>
      </c>
    </row>
    <row r="26" ht="35.25" customHeight="1">
      <c r="A26" s="227" t="inlineStr">
        <is>
          <t xml:space="preserve">  By Role (rows 11-17)</t>
        </is>
      </c>
      <c r="B26" s="233" t="inlineStr">
        <is>
          <t>Same comparison broken out by role. Color-coded: green = fine, yellow = tight, red = over capacity. This tells you WHERE the problem is.</t>
        </is>
      </c>
    </row>
    <row r="27" ht="35.25" customHeight="1">
      <c r="A27" s="227" t="inlineStr">
        <is>
          <t xml:space="preserve">  Scenario Notes (rows 31-37)</t>
        </is>
      </c>
      <c r="B27" s="233" t="inlineStr">
        <is>
          <t>A free-text area for documenting assumptions, decisions, and scenario notes from planning sessions.</t>
        </is>
      </c>
    </row>
    <row r="28" ht="35.25" customHeight="1">
      <c r="A28" s="225" t="n"/>
      <c r="B28" s="233" t="n"/>
    </row>
    <row r="29" ht="35.25" customHeight="1">
      <c r="A29" s="224" t="inlineStr">
        <is>
          <t>🗓️ RM_WeeklyHeatmap</t>
        </is>
      </c>
      <c r="B29" s="235" t="inlineStr">
        <is>
          <t>"WHEN are we in trouble?" — The action sheet you use in weekly planning.</t>
        </is>
      </c>
    </row>
    <row r="30" ht="35.25" customHeight="1">
      <c r="A30" s="227" t="inlineStr">
        <is>
          <t xml:space="preserve">  Headcount Adjusters (rows 6-12)</t>
        </is>
      </c>
      <c r="B30" s="233" t="inlineStr">
        <is>
          <t>Type a number in the blue "Add/Remove" cells to simulate hiring or losing staff. Type 1 next to DBA to test "what if we hire another DBA?" Type -1 to test losing someone. The heatmap recalculates instantly.</t>
        </is>
      </c>
    </row>
    <row r="31" ht="35.25" customHeight="1">
      <c r="A31" s="227" t="inlineStr">
        <is>
          <t xml:space="preserve">  Project Timelines (rows 17-29)</t>
        </is>
      </c>
      <c r="B31" s="233" t="inlineStr">
        <is>
          <t>Shows each active project's start/end dates (blue = editable). Change a date to test "what if we delay ETE-43 by a month?" or "what if we start ETE-49 sooner?" The heatmap recalculates.</t>
        </is>
      </c>
    </row>
    <row r="32" ht="35.25" customHeight="1">
      <c r="A32" s="227" t="inlineStr">
        <is>
          <t xml:space="preserve">  The Heatmap (rows 34-40)</t>
        </is>
      </c>
      <c r="B32" s="233" t="inlineStr">
        <is>
          <t>The payoff. Each cell shows utilization % for one role in one week. Green (&lt;80%) = fine. Yellow (80-99%) = getting tight. Red (100%+) = overloaded, need to act. Demand shifts week-to-week because the model knows which SDLC phase each project is in.</t>
        </is>
      </c>
    </row>
    <row r="33" ht="35.25" customHeight="1">
      <c r="A33" s="225" t="n"/>
      <c r="B33" s="233" t="n"/>
    </row>
    <row r="34" ht="35.25" customHeight="1">
      <c r="A34" s="225" t="n"/>
      <c r="B34" s="233" t="n"/>
    </row>
    <row r="35" ht="35.25" customHeight="1">
      <c r="A35" s="226" t="inlineStr">
        <is>
          <t>HOW TO RUN SCENARIOS</t>
        </is>
      </c>
      <c r="B35" s="234" t="n"/>
    </row>
    <row r="36" ht="35.25" customHeight="1">
      <c r="A36" s="224" t="inlineStr">
        <is>
          <t>"What if we hire another DBA?"</t>
        </is>
      </c>
      <c r="B36" s="233" t="inlineStr">
        <is>
          <t>Go to RM_WeeklyHeatmap → cell C11 (DBA Add/Remove) → type 1. The DBA row in the heatmap will drop from red to green. If it works, you've justified the hire.</t>
        </is>
      </c>
    </row>
    <row r="37" ht="35.25" customHeight="1">
      <c r="A37" s="224" t="inlineStr">
        <is>
          <t>"What if we delay a project?"</t>
        </is>
      </c>
      <c r="B37" s="233" t="inlineStr">
        <is>
          <t>Go to RM_WeeklyHeatmap → find the project in rows 17-29 → change its Start Date (column D) or End Date (column E). The heatmap will shift that project's demand to different weeks.</t>
        </is>
      </c>
    </row>
    <row r="38" ht="35.25" customHeight="1">
      <c r="A38" s="224" t="inlineStr">
        <is>
          <t>"What if a project takes longer?"</t>
        </is>
      </c>
      <c r="B38" s="233" t="inlineStr">
        <is>
          <t>Push the End Date further out. The same total hours get spread over more weeks, so weekly demand drops — but it stays on the heatmap longer.</t>
        </is>
      </c>
    </row>
    <row r="39" ht="35.25" customHeight="1">
      <c r="A39" s="224" t="inlineStr">
        <is>
          <t>"What if we change how much BA time a project needs?"</t>
        </is>
      </c>
      <c r="B39" s="233" t="inlineStr">
        <is>
          <t>Go to RM_Assumptions → Role Effort by Phase (rows 21-28) → adjust the BA row. This changes how much BA demand every project generates during each phase.</t>
        </is>
      </c>
    </row>
    <row r="40" ht="35.25" customHeight="1">
      <c r="A40" s="224" t="inlineStr">
        <is>
          <t>"What if we shift more time to admin?"</t>
        </is>
      </c>
      <c r="B40" s="233" t="inlineStr">
        <is>
          <t>Go to RM_Assumptions → Time Allocation (rows 7-9) → increase Admin %, decrease Project %. Everyone's available project hours shrink, so utilization goes up across the board.</t>
        </is>
      </c>
    </row>
    <row r="41" ht="35.25" customHeight="1">
      <c r="A41" s="224" t="inlineStr">
        <is>
          <t>Reset everything</t>
        </is>
      </c>
      <c r="B41" s="233" t="inlineStr">
        <is>
          <t>Set all Headcount Adjusters back to 0. The project dates will revert to Portfolio defaults on their own (they pull from Portfolio when not overridden).</t>
        </is>
      </c>
    </row>
    <row r="42" ht="35.25" customHeight="1">
      <c r="A42" s="225" t="n"/>
      <c r="B42" s="233" t="n"/>
    </row>
    <row r="43" ht="35.25" customHeight="1">
      <c r="A43" s="225" t="n"/>
      <c r="B43" s="233" t="n"/>
    </row>
    <row r="44" ht="35.25" customHeight="1">
      <c r="A44" s="226" t="inlineStr">
        <is>
          <t>READING THE HEATMAP COLORS</t>
        </is>
      </c>
      <c r="B44" s="234" t="n"/>
    </row>
    <row r="45" ht="35.25" customHeight="1">
      <c r="A45" s="228" t="inlineStr">
        <is>
          <t>🟢 Green (under 80%)</t>
        </is>
      </c>
      <c r="B45" s="233" t="inlineStr">
        <is>
          <t>This role has capacity. No action needed.</t>
        </is>
      </c>
    </row>
    <row r="46" ht="35.25" customHeight="1">
      <c r="A46" s="229" t="inlineStr">
        <is>
          <t>🟡 Yellow (80-99%)</t>
        </is>
      </c>
      <c r="B46" s="233" t="inlineStr">
        <is>
          <t>At risk. A short burst of yellow (1-2 weeks) is OK — people can push through. But sustained yellow over 3+ weeks means you're running tight and any surprise will tip into red.</t>
        </is>
      </c>
    </row>
    <row r="47" ht="35.25" customHeight="1">
      <c r="A47" s="230" t="inlineStr">
        <is>
          <t>🔴 Red (100% or higher)</t>
        </is>
      </c>
      <c r="B47" s="233" t="inlineStr">
        <is>
          <t>Over capacity. This role physically can't deliver everything assigned to them. Something has to give: hire more, delay a project, or reassign work. The higher the %, the worse it is (183% means you'd need almost 2x the people).</t>
        </is>
      </c>
    </row>
    <row r="48" ht="35.25" customHeight="1">
      <c r="A48" s="231" t="inlineStr">
        <is>
          <t>All zeros (0%)</t>
        </is>
      </c>
      <c r="B48" s="233" t="inlineStr">
        <is>
          <t>Either no projects are active that week, or no projects need that role. Check if project dates are set correctly in the timeline section.</t>
        </is>
      </c>
    </row>
    <row r="49" ht="35.25" customHeight="1">
      <c r="A49" s="225" t="n"/>
      <c r="B49" s="233" t="n"/>
    </row>
    <row r="50" ht="35.25" customHeight="1">
      <c r="A50" s="225" t="n"/>
      <c r="B50" s="233" t="n"/>
    </row>
    <row r="51" ht="35.25" customHeight="1">
      <c r="A51" s="226" t="inlineStr">
        <is>
          <t>IMPORTANT NOTES</t>
        </is>
      </c>
      <c r="B51" s="234" t="n"/>
    </row>
    <row r="52" ht="35.25" customHeight="1">
      <c r="A52" s="224" t="inlineStr">
        <is>
          <t>Projects with no dates</t>
        </is>
      </c>
      <c r="B52" s="233" t="inlineStr">
        <is>
          <t>If a project in the Portfolio has no Start/End date, the heatmap defaults it to starting today with a 12-week duration. Once real dates are added to the Portfolio, it picks them up automatically.</t>
        </is>
      </c>
    </row>
    <row r="53" ht="35.25" customHeight="1">
      <c r="A53" s="224" t="inlineStr">
        <is>
          <t>Completed/Postponed projects</t>
        </is>
      </c>
      <c r="B53" s="233" t="inlineStr">
        <is>
          <t>These are automatically excluded from all demand calculations. You don't need to remove them.</t>
        </is>
      </c>
    </row>
    <row r="54" ht="35.25" customHeight="1">
      <c r="A54" s="224" t="inlineStr">
        <is>
          <t>Phase totals over 100%</t>
        </is>
      </c>
      <c r="B54" s="233" t="inlineStr">
        <is>
          <t>In RM_Assumptions, the Phase Total row may show &gt;100%. This is correct — it means multiple roles work on the same phase. It's not a distribution (doesn't need to sum to 100%), it's effort intensity per role.</t>
        </is>
      </c>
    </row>
    <row r="55" ht="35.25" customHeight="1">
      <c r="A55" s="224" t="inlineStr">
        <is>
          <t>Headcount vs. Team Roster</t>
        </is>
      </c>
      <c r="B55" s="233" t="inlineStr">
        <is>
          <t>Base headcount in the heatmap comes from Team Roster via RM_Assumptions. The Adjuster in the heatmap is a temporary "what if" — it doesn't change the actual roster.</t>
        </is>
      </c>
    </row>
    <row r="56" ht="35.25" customHeight="1">
      <c r="A56" s="224" t="inlineStr">
        <is>
          <t>Don't edit gray cells</t>
        </is>
      </c>
      <c r="B56" s="233" t="inlineStr">
        <is>
          <t>Gray cells contain formulas. If you overwrite them, the model breaks. Only edit blue cells.</t>
        </is>
      </c>
    </row>
    <row r="57" ht="35.25" customHeight="1">
      <c r="A57" s="232" t="n"/>
      <c r="B57" s="236" t="n"/>
    </row>
    <row r="58" ht="35.25" customHeight="1">
      <c r="A58" s="252" t="inlineStr">
        <is>
          <t>📅 RM_Gantt (Resource-Leveled Gantt)</t>
        </is>
      </c>
      <c r="B58" s="235" t="inlineStr">
        <is>
          <t>"What's the recommended schedule?" — Shows projects rescheduled to avoid resource overloads.</t>
        </is>
      </c>
    </row>
    <row r="59" ht="35.25" customHeight="1">
      <c r="A59" s="227" t="inlineStr">
        <is>
          <t xml:space="preserve">  What it does</t>
        </is>
      </c>
      <c r="B59" s="233" t="inlineStr">
        <is>
          <t>Takes all 13 active projects, sorts them by priority (Highest first), and schedules them one by one. If adding a project would push any role over 100% capacity, it pushes that project's start date forward week-by-week until it fits.</t>
        </is>
      </c>
    </row>
    <row r="60" ht="35.25" customHeight="1">
      <c r="A60" s="227" t="inlineStr">
        <is>
          <t xml:space="preserve">  Schedule Table (cols A-I)</t>
        </is>
      </c>
      <c r="B60" s="233" t="inlineStr">
        <is>
          <t>Shows each project's original dates vs. adjusted dates. The "Shifted" column tells you how many weeks a project was pushed. Yellow-highlighted adjusted dates = the project moved.</t>
        </is>
      </c>
    </row>
    <row r="61" ht="35.25" customHeight="1">
      <c r="A61" s="227" t="inlineStr">
        <is>
          <t xml:space="preserve">  Gantt Bars (cols J+)</t>
        </is>
      </c>
      <c r="B61" s="233" t="inlineStr">
        <is>
          <t>Color-coded bars: Red = Highest priority, Yellow = High, Blue = Medium. Green ghost bars show where a shifted project was originally scheduled.</t>
        </is>
      </c>
    </row>
    <row r="62" ht="35.25" customHeight="1">
      <c r="A62" s="227" t="inlineStr">
        <is>
          <t xml:space="preserve">  Key insight</t>
        </is>
      </c>
      <c r="B62" s="233" t="inlineStr">
        <is>
          <t>The DBA is the binding constraint. All 5 Medium projects had to shift because of DBA overload. Highest and High priority projects kept their original dates.</t>
        </is>
      </c>
    </row>
    <row r="63" ht="35.25" customHeight="1">
      <c r="A63" s="227" t="inlineStr">
        <is>
          <t xml:space="preserve">  ⚠️ Important</t>
        </is>
      </c>
      <c r="B63" s="233" t="inlineStr">
        <is>
          <t>This is a one-time snapshot, NOT a live formula. After changing headcount adjusters or project dates in RM_WeeklyHeatmap, ask Claude to regenerate the Gantt to get an updated recommended schedule.</t>
        </is>
      </c>
    </row>
    <row r="64" ht="35.25" customHeight="1">
      <c r="A64" s="253" t="n"/>
      <c r="B64" s="254" t="n"/>
    </row>
    <row r="65" ht="35.25" customHeight="1">
      <c r="A65" s="232" t="n"/>
      <c r="B65" s="236" t="n"/>
    </row>
    <row r="66">
      <c r="B66" s="218" t="n"/>
    </row>
    <row r="67">
      <c r="B67" s="218" t="n"/>
    </row>
    <row r="68">
      <c r="B68" s="218" t="n"/>
    </row>
    <row r="69">
      <c r="B69" s="218" t="n"/>
    </row>
    <row r="70">
      <c r="B70" s="21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41.85546875" customWidth="1" min="1" max="1"/>
    <col width="114.28515625" customWidth="1" min="2" max="2"/>
  </cols>
  <sheetData>
    <row r="1" ht="18.75" customHeight="1">
      <c r="A1" s="258" t="inlineStr">
        <is>
          <t>ETE IT PMO — AI Resource Planning Agent: Technical Specification</t>
        </is>
      </c>
      <c r="B1" s="256" t="n"/>
    </row>
    <row r="2">
      <c r="A2" s="259" t="inlineStr">
        <is>
          <t>Phase 1 MVP — Stateful AI agent for resource optimization, portfolio analysis, and decision support.</t>
        </is>
      </c>
      <c r="B2" s="256" t="n"/>
    </row>
    <row r="3">
      <c r="A3" s="255" t="n"/>
      <c r="B3" s="256" t="n"/>
    </row>
    <row r="4" ht="15.75" customHeight="1">
      <c r="A4" s="261" t="inlineStr">
        <is>
          <t>1. PROJECT OVERVIEW</t>
        </is>
      </c>
      <c r="B4" s="262" t="n"/>
    </row>
    <row r="5">
      <c r="A5" s="260" t="inlineStr">
        <is>
          <t>Project Name</t>
        </is>
      </c>
      <c r="B5" s="256" t="inlineStr">
        <is>
          <t>ETE IT PMO AI Resource Planning Agent</t>
        </is>
      </c>
    </row>
    <row r="6">
      <c r="A6" s="260" t="inlineStr">
        <is>
          <t>Version</t>
        </is>
      </c>
      <c r="B6" s="256" t="inlineStr">
        <is>
          <t>Phase 1 MVP</t>
        </is>
      </c>
    </row>
    <row r="7" ht="45.75" customHeight="1">
      <c r="A7" s="260" t="inlineStr">
        <is>
          <t>Purpose</t>
        </is>
      </c>
      <c r="B7" s="256" t="inlineStr">
        <is>
          <t>Build a persistent AI agent that reads the ETE IT PMO Excel workbook, understands the project portfolio and team capacity, runs constraint-based optimization for resource scheduling, and provides natural language recommendations via a chat interface. Excel remains the source of truth for data entry and executive/board reporting.</t>
        </is>
      </c>
    </row>
    <row r="8" ht="60.75" customHeight="1">
      <c r="A8" s="260" t="inlineStr">
        <is>
          <t>Problem Statement</t>
        </is>
      </c>
      <c r="B8" s="256" t="inlineStr">
        <is>
          <t>The PMO team manually manages 40+ projects across 23 resources using Excel. Determining optimal project schedules, identifying resource bottlenecks, and running what-if scenarios requires navigating 6+ interconnected sheets with complex formulas. The team needs an intelligent layer that can answer capacity questions, flag risks, and recommend optimal schedules — while keeping Excel as the foundation.</t>
        </is>
      </c>
    </row>
    <row r="9" ht="30.75" customHeight="1">
      <c r="A9" s="260" t="inlineStr">
        <is>
          <t>Key Outcome</t>
        </is>
      </c>
      <c r="B9" s="256" t="inlineStr">
        <is>
          <t>A PMO lead can ask: "Can we take on a new 400-hour project with 60% Developer allocation?" and get an immediate answer with impact analysis, trade-off options, and a recommended schedule — all grounded in real data from the Excel workbook.</t>
        </is>
      </c>
    </row>
    <row r="10">
      <c r="A10" s="260" t="inlineStr">
        <is>
          <t>Estimated Effort</t>
        </is>
      </c>
      <c r="B10" s="256" t="inlineStr">
        <is>
          <t>2-3 weeks with one Python developer familiar with APIs and basic cloud deployment.</t>
        </is>
      </c>
    </row>
    <row r="11">
      <c r="A11" s="260" t="inlineStr">
        <is>
          <t>Estimated Monthly Cost</t>
        </is>
      </c>
      <c r="B11" s="256" t="inlineStr">
        <is>
          <t>~$30-70/month (Claude API ~$20-50, hosting ~$10-20). No per-seat licensing.</t>
        </is>
      </c>
    </row>
    <row r="12">
      <c r="A12" s="255" t="n"/>
      <c r="B12" s="256" t="n"/>
    </row>
    <row r="13" ht="15.75" customHeight="1">
      <c r="A13" s="261" t="inlineStr">
        <is>
          <t>2. EXCEL DATA MODEL — Source of Truth</t>
        </is>
      </c>
      <c r="B13" s="262" t="n"/>
    </row>
    <row r="14">
      <c r="A14" s="260" t="inlineStr">
        <is>
          <t>Workbook</t>
        </is>
      </c>
      <c r="B14" s="256" t="inlineStr">
        <is>
          <t>ETE_2026_IT_Budget_Tracker.xlsx (hosted on SharePoint/OneDrive)</t>
        </is>
      </c>
    </row>
    <row r="15" ht="45.75" customHeight="1">
      <c r="A15" s="260" t="inlineStr">
        <is>
          <t>Access Method</t>
        </is>
      </c>
      <c r="B15" s="256" t="inlineStr">
        <is>
          <t>Option A: Microsoft Graph API (if on SharePoint — preferred for real-time access)
Option B: openpyxl (Python library — reads .xlsx directly from file share)
Option C: OneDrive sync + file watcher (simplest — watch local copy for changes)</t>
        </is>
      </c>
    </row>
    <row r="16">
      <c r="A16" s="255" t="n"/>
      <c r="B16" s="256" t="n"/>
    </row>
    <row r="17">
      <c r="A17" s="263" t="inlineStr">
        <is>
          <t>2a. Project Portfolio Sheet</t>
        </is>
      </c>
      <c r="B17" s="264" t="n"/>
    </row>
    <row r="18">
      <c r="A18" s="260" t="inlineStr">
        <is>
          <t>Range</t>
        </is>
      </c>
      <c r="B18" s="257" t="inlineStr">
        <is>
          <t>Project Portfolio'!A3:AC42 (row 3 = headers, rows 4-42 = projects)</t>
        </is>
      </c>
    </row>
    <row r="19" ht="45.75" customHeight="1">
      <c r="A19" s="260" t="inlineStr">
        <is>
          <t>Key Columns</t>
        </is>
      </c>
      <c r="B19" s="256" t="inlineStr">
        <is>
          <t>A: ID (e.g., ETE-83) | B: Project Name | C: Type | D: Business Portfolio | E: Sponsor/Leader | F: Project Health (ON TRACK, NEEDS SPEC, NOT STARTED, POSTPONED) | G: % Complete (0-100%) | H: Priority (Highest/High/Medium/Low) | I: Start Date | J: Est. End Date | R: Est. Hours | T-AA: Role allocation percentages (BA%, Func%, Tech%, Dev%, Infra%, DBA%, PM%, WMS%)</t>
        </is>
      </c>
    </row>
    <row r="20">
      <c r="A20" s="260" t="inlineStr">
        <is>
          <t>Active Filter</t>
        </is>
      </c>
      <c r="B20" s="256" t="inlineStr">
        <is>
          <t>Exclude: Project Health = POSTPONED, % Complete = 100%. Currently ~13 active of 40 total.</t>
        </is>
      </c>
    </row>
    <row r="21">
      <c r="A21" s="260" t="inlineStr">
        <is>
          <t>Priority Rule</t>
        </is>
      </c>
      <c r="B21" s="256" t="inlineStr">
        <is>
          <t>ABSOLUTE: Highest &gt; High &gt; Medium &gt; Low. Never delay Highest for Medium.</t>
        </is>
      </c>
    </row>
    <row r="22">
      <c r="A22" s="255" t="n"/>
      <c r="B22" s="256" t="n"/>
    </row>
    <row r="23">
      <c r="A23" s="263" t="inlineStr">
        <is>
          <t>2b. Team Roster Sheet</t>
        </is>
      </c>
      <c r="B23" s="264" t="n"/>
    </row>
    <row r="24">
      <c r="A24" s="260" t="inlineStr">
        <is>
          <t>Range</t>
        </is>
      </c>
      <c r="B24" s="257" t="inlineStr">
        <is>
          <t>Team Roster'!A3:H26 (23 team members)</t>
        </is>
      </c>
    </row>
    <row r="25" ht="30.75" customHeight="1">
      <c r="A25" s="260" t="inlineStr">
        <is>
          <t>Key Columns</t>
        </is>
      </c>
      <c r="B25" s="256" t="inlineStr">
        <is>
          <t>A: Resource name | B: Role (PM, DBA, BA, Functional, Technical, Developer, Infrastructure, WMS) | C: Team | D: Vendor | E: Classification (FTE/Contractor) | F: Rate/Hour | G: Weekly Hrs Available | H: Support Reserve %</t>
        </is>
      </c>
    </row>
    <row r="26">
      <c r="A26" s="260" t="inlineStr">
        <is>
          <t>Current Team</t>
        </is>
      </c>
      <c r="B26" s="256" t="inlineStr">
        <is>
          <t>23 resources: 3 PM, 1 DBA, 4 BA/SME, 2 Functional, 5 Technical, 4 Developer, 3 Infrastructure, 1 WMS</t>
        </is>
      </c>
    </row>
    <row r="27">
      <c r="A27" s="255" t="n"/>
      <c r="B27" s="256" t="n"/>
    </row>
    <row r="28">
      <c r="A28" s="263" t="inlineStr">
        <is>
          <t>2c. RM_Assumptions Sheet</t>
        </is>
      </c>
      <c r="B28" s="264" t="n"/>
    </row>
    <row r="29">
      <c r="A29" s="260" t="inlineStr">
        <is>
          <t>Time Allocation</t>
        </is>
      </c>
      <c r="B29" s="256" t="inlineStr">
        <is>
          <t>Admin 10% + Break/Fix 10% + Project 80% = 100%. Result: 32 project hrs/person/week.</t>
        </is>
      </c>
    </row>
    <row r="30">
      <c r="A30" s="260" t="inlineStr">
        <is>
          <t>SDLC Phase Weights</t>
        </is>
      </c>
      <c r="B30" s="256" t="inlineStr">
        <is>
          <t>Discovery 10%, Planning 10%, Design 15%, Build 30%, Test 20%, Deploy 15% = 100%</t>
        </is>
      </c>
    </row>
    <row r="31" ht="30.75" customHeight="1">
      <c r="A31" s="260" t="inlineStr">
        <is>
          <t>Role Effort Matrix</t>
        </is>
      </c>
      <c r="B31" s="256" t="inlineStr">
        <is>
          <t>8 roles × 6 phases. Example: Developer = 0% Discovery → 5% Planning → 10% Design → 50% Build → 25% Test → 10% Deploy. This drives demand curves — each role's workload varies by project phase.</t>
        </is>
      </c>
    </row>
    <row r="32" ht="30.75" customHeight="1">
      <c r="A32" s="260" t="inlineStr">
        <is>
          <t>Critical Rule</t>
        </is>
      </c>
      <c r="B32" s="256" t="inlineStr">
        <is>
          <t>Demand for a role is ZERO if the project's role allocation % is 0 in the Portfolio. The agent MUST gate by this — we caught a bug where the Excel model was applying DBA effort to all projects regardless of allocation.</t>
        </is>
      </c>
    </row>
    <row r="33">
      <c r="A33" s="255" t="n"/>
      <c r="B33" s="256" t="n"/>
    </row>
    <row r="34" ht="15.75" customHeight="1">
      <c r="A34" s="261" t="inlineStr">
        <is>
          <t>3. AGENT CAPABILITIES</t>
        </is>
      </c>
      <c r="B34" s="262" t="n"/>
    </row>
    <row r="35">
      <c r="A35" s="263" t="inlineStr">
        <is>
          <t>3a. Core (MVP)</t>
        </is>
      </c>
      <c r="B35" s="264" t="n"/>
    </row>
    <row r="36" ht="30.75" customHeight="1">
      <c r="A36" s="260" t="inlineStr">
        <is>
          <t>Portfolio Status</t>
        </is>
      </c>
      <c r="B36" s="256" t="inlineStr">
        <is>
          <t>Answer: "What's the status of Highest projects?" "Which projects are stuck?" "How many projects does Tom lead?" Grounded in live Excel data.</t>
        </is>
      </c>
    </row>
    <row r="37" ht="30.75" customHeight="1">
      <c r="A37" s="260" t="inlineStr">
        <is>
          <t>Capacity Analysis</t>
        </is>
      </c>
      <c r="B37" s="256" t="inlineStr">
        <is>
          <t>Calculate real-time utilization by role. Weekly supply = headcount × 32. Weekly demand = Σ(Est.Hours × Role% × SDLC Phase Effort%) / duration. Thresholds: &lt;80% green, 80-99% yellow, ≥100% red.</t>
        </is>
      </c>
    </row>
    <row r="38" ht="30.75" customHeight="1">
      <c r="A38" s="260" t="inlineStr">
        <is>
          <t>What-If Scenarios</t>
        </is>
      </c>
      <c r="B38" s="256" t="inlineStr">
        <is>
          <t>"What if we add a 400-hr project?" → adds demand, identifies overloaded weeks, generates 2-4 mitigation options with specific numbers.</t>
        </is>
      </c>
    </row>
    <row r="39" ht="30.75" customHeight="1">
      <c r="A39" s="260" t="inlineStr">
        <is>
          <t>Schedule Optimization</t>
        </is>
      </c>
      <c r="B39" s="256" t="inlineStr">
        <is>
          <t>Sort by priority. Place projects on timeline. If any role exceeds 85%, shift lower-priority projects forward until it fits. Never shift Highest/High. Output: recommended dates + shift amounts.</t>
        </is>
      </c>
    </row>
    <row r="40" ht="30.75" customHeight="1">
      <c r="A40" s="260" t="inlineStr">
        <is>
          <t>Trade-Off Options</t>
        </is>
      </c>
      <c r="B40" s="256" t="inlineStr">
        <is>
          <t>When constrained, generate 2-4 options: (A) delay specific projects, (B) add headcount + cost est., (C) reduce scope, (D) accept short overload. Rank by recommendation.</t>
        </is>
      </c>
    </row>
    <row r="41" ht="30.75" customHeight="1">
      <c r="A41" s="260" t="inlineStr">
        <is>
          <t>Change Detection</t>
        </is>
      </c>
      <c r="B41" s="256" t="inlineStr">
        <is>
          <t>Compare current Excel to last snapshot. Report: new projects, status changes, % complete changes, date changes. Proactive at start of each session.</t>
        </is>
      </c>
    </row>
    <row r="42">
      <c r="A42" s="255" t="n"/>
      <c r="B42" s="256" t="n"/>
    </row>
    <row r="43">
      <c r="A43" s="263" t="inlineStr">
        <is>
          <t>3b. Stretch (Phase 1.5)</t>
        </is>
      </c>
      <c r="B43" s="264" t="n"/>
    </row>
    <row r="44">
      <c r="A44" s="260" t="inlineStr">
        <is>
          <t>Board Summary</t>
        </is>
      </c>
      <c r="B44" s="256" t="inlineStr">
        <is>
          <t>Generate plain-English executive summary: active projects, utilization, top risks, decisions made. Write to Excel sheet.</t>
        </is>
      </c>
    </row>
    <row r="45">
      <c r="A45" s="260" t="inlineStr">
        <is>
          <t>Proactive Alerts</t>
        </is>
      </c>
      <c r="B45" s="256" t="inlineStr">
        <is>
          <t>Teams/Slack notification when: role &gt; 90%, project stuck &gt; 2 weeks, end date passed with &lt; 90% complete.</t>
        </is>
      </c>
    </row>
    <row r="46">
      <c r="A46" s="260" t="inlineStr">
        <is>
          <t>Trend Analysis</t>
        </is>
      </c>
      <c r="B46" s="256" t="inlineStr">
        <is>
          <t>"How has Developer utilization trended over 8 weeks?" Requires storing weekly snapshots.</t>
        </is>
      </c>
    </row>
    <row r="47">
      <c r="A47" s="255" t="n"/>
      <c r="B47" s="256" t="n"/>
    </row>
    <row r="48" ht="15.75" customHeight="1">
      <c r="A48" s="261" t="inlineStr">
        <is>
          <t>4. TECHNICAL ARCHITECTURE</t>
        </is>
      </c>
      <c r="B48" s="262" t="n"/>
    </row>
    <row r="49">
      <c r="A49" s="260" t="inlineStr">
        <is>
          <t>Runtime</t>
        </is>
      </c>
      <c r="B49" s="256" t="inlineStr">
        <is>
          <t>Python 3.11+, long-lived process (server, Azure Function, or local PC)</t>
        </is>
      </c>
    </row>
    <row r="50">
      <c r="A50" s="260" t="inlineStr">
        <is>
          <t>AI Model</t>
        </is>
      </c>
      <c r="B50" s="256" t="inlineStr">
        <is>
          <t>Claude Sonnet 4 (claude-sonnet-4-20250514) via Anthropic API with tool-use</t>
        </is>
      </c>
    </row>
    <row r="51" ht="30.75" customHeight="1">
      <c r="A51" s="260" t="inlineStr">
        <is>
          <t>Optimization</t>
        </is>
      </c>
      <c r="B51" s="256" t="inlineStr">
        <is>
          <t>Google OR-Tools (free, handles constraint programming). Objective: minimize total delay, constraints: all roles ≤ 85% utilization, priority hierarchy respected.</t>
        </is>
      </c>
    </row>
    <row r="52" ht="30.75" customHeight="1">
      <c r="A52" s="260" t="inlineStr">
        <is>
          <t>Memory</t>
        </is>
      </c>
      <c r="B52" s="256" t="inlineStr">
        <is>
          <t>SQLite database. Tables: portfolio_snapshots (weekly state), decisions (approved actions + reasoning), agent_state (preferences, last run date).</t>
        </is>
      </c>
    </row>
    <row r="53">
      <c r="A53" s="260" t="inlineStr">
        <is>
          <t>Chat Interface</t>
        </is>
      </c>
      <c r="B53" s="256" t="inlineStr">
        <is>
          <t>Option A: Streamlit web app (fastest to build, ~50 lines). Option B: Teams bot (best adoption, needs Azure AD setup).</t>
        </is>
      </c>
    </row>
    <row r="54" ht="30.75" customHeight="1">
      <c r="A54" s="260" t="inlineStr">
        <is>
          <t>Excel Access</t>
        </is>
      </c>
      <c r="B54" s="256" t="inlineStr">
        <is>
          <t>openpyxl for direct file read/write. NEVER overwrite Portfolio or Team Roster without explicit user confirmation. Write only to output sheets.</t>
        </is>
      </c>
    </row>
    <row r="55">
      <c r="A55" s="255" t="n"/>
      <c r="B55" s="256" t="n"/>
    </row>
    <row r="56" ht="15.75" customHeight="1">
      <c r="A56" s="261" t="inlineStr">
        <is>
          <t>5. SYSTEM PROMPT (Draft)</t>
        </is>
      </c>
      <c r="B56" s="262" t="n"/>
    </row>
    <row r="57" ht="183" customHeight="1">
      <c r="A57" s="260" t="inlineStr">
        <is>
          <t>System Prompt</t>
        </is>
      </c>
      <c r="B57" s="256" t="inlineStr">
        <is>
          <t>You are the ETE IT PMO Resource Planning Agent. You help the PMO team make data-driven resource allocation decisions.
RULES:
• Highest priority = immovable. Never delay.
• High priority = minimal flex (≤2 weeks).
• Medium/Low = flexible. Delay these first.
• Target utilization: 85%. Red ≥100% must be resolved.
• Demand = Est.Hours × Role% × SDLC Phase Effort% / Duration. Only if Role% &gt; 0.
• Always provide 2-4 concrete options with specific numbers.
• Never overwrite source sheets without confirmation.
• Lead with the answer, then supporting detail.
• Cite specific numbers: "Developer at 106%" not "Developer is overloaded".</t>
        </is>
      </c>
    </row>
    <row r="58">
      <c r="A58" s="255" t="n"/>
      <c r="B58" s="256" t="n"/>
    </row>
    <row r="59" ht="15.75" customHeight="1">
      <c r="A59" s="261" t="inlineStr">
        <is>
          <t>6. IMPLEMENTATION PLAN</t>
        </is>
      </c>
      <c r="B59" s="262" t="n"/>
    </row>
    <row r="60" ht="45.75" customHeight="1">
      <c r="A60" s="260" t="inlineStr">
        <is>
          <t>Week 1: Foundation</t>
        </is>
      </c>
      <c r="B60" s="256" t="inlineStr">
        <is>
          <t>Day 1-2: Excel Connector (read_portfolio, read_roster, read_assumptions)
Day 3-4: Claude API + tool-use integration + system prompt
Day 5: Memory store (SQLite, save/load/compare snapshots)</t>
        </is>
      </c>
    </row>
    <row r="61" ht="30.75" customHeight="1">
      <c r="A61" s="260" t="inlineStr">
        <is>
          <t>Week 2: Intelligence</t>
        </is>
      </c>
      <c r="B61" s="256" t="inlineStr">
        <is>
          <t>Day 6-8: OR-Tools optimization engine (constraint solver for scheduling)
Day 9-10: What-if scenario engine (add project, lose resource, shift dates)</t>
        </is>
      </c>
    </row>
    <row r="62" ht="45.75" customHeight="1">
      <c r="A62" s="260" t="inlineStr">
        <is>
          <t>Week 3: Interface</t>
        </is>
      </c>
      <c r="B62" s="256" t="inlineStr">
        <is>
          <t>Day 11-12: Streamlit chat UI or Teams bot
Day 13-14: End-to-end testing with real data (5 core scenarios)
Day 15: Deployment + team training</t>
        </is>
      </c>
    </row>
    <row r="63">
      <c r="A63" s="255" t="n"/>
      <c r="B63" s="256" t="n"/>
    </row>
    <row r="64" ht="15.75" customHeight="1">
      <c r="A64" s="261" t="inlineStr">
        <is>
          <t>7. SUCCESS CRITERIA</t>
        </is>
      </c>
      <c r="B64" s="262" t="n"/>
    </row>
    <row r="65">
      <c r="A65" s="260" t="inlineStr">
        <is>
          <t>Accuracy</t>
        </is>
      </c>
      <c r="B65" s="256" t="inlineStr">
        <is>
          <t>Utilization calculations match Excel within 1% tolerance.</t>
        </is>
      </c>
    </row>
    <row r="66">
      <c r="A66" s="260" t="inlineStr">
        <is>
          <t>Speed</t>
        </is>
      </c>
      <c r="B66" s="256" t="inlineStr">
        <is>
          <t>All queries answered in &lt;10 seconds (Excel read + Claude API + optimization).</t>
        </is>
      </c>
    </row>
    <row r="67">
      <c r="A67" s="260" t="inlineStr">
        <is>
          <t>Memory</t>
        </is>
      </c>
      <c r="B67" s="256" t="inlineStr">
        <is>
          <t>Correctly identifies changes between sessions unprompted.</t>
        </is>
      </c>
    </row>
    <row r="68">
      <c r="A68" s="260" t="inlineStr">
        <is>
          <t>Optimization</t>
        </is>
      </c>
      <c r="B68" s="256" t="inlineStr">
        <is>
          <t>All roles ≤85% in leveled schedule. No Highest project delayed. Total delay minimized.</t>
        </is>
      </c>
    </row>
    <row r="69">
      <c r="A69" s="260" t="inlineStr">
        <is>
          <t>Adoption</t>
        </is>
      </c>
      <c r="B69" s="256" t="inlineStr">
        <is>
          <t>PMO lead uses agent ≥3x/week within 2 weeks of deployment.</t>
        </is>
      </c>
    </row>
    <row r="70">
      <c r="A70" s="260" t="inlineStr">
        <is>
          <t>Board Ready</t>
        </is>
      </c>
      <c r="B70" s="256" t="inlineStr">
        <is>
          <t>Agent-generated summary needs &lt;5 min of editing for board deck.</t>
        </is>
      </c>
    </row>
    <row r="71">
      <c r="A71" s="255" t="n"/>
      <c r="B71" s="256" t="n"/>
    </row>
    <row r="72" ht="15.75" customHeight="1">
      <c r="A72" s="261" t="inlineStr">
        <is>
          <t>8. RISKS &amp; MITIGATIONS</t>
        </is>
      </c>
      <c r="B72" s="262" t="n"/>
    </row>
    <row r="73">
      <c r="A73" s="260" t="inlineStr">
        <is>
          <t>Stale Data</t>
        </is>
      </c>
      <c r="B73" s="256" t="inlineStr">
        <is>
          <t>If Excel not saved/synced, agent reads old data. Mitigation: show "Data as of: [timestamp]" in every response.</t>
        </is>
      </c>
    </row>
    <row r="74">
      <c r="A74" s="260" t="inlineStr">
        <is>
          <t>AI Hallucination</t>
        </is>
      </c>
      <c r="B74" s="256" t="inlineStr">
        <is>
          <t>Agent could generate plausible wrong numbers. Mitigation: every claim must trace to a tool call with cited source data.</t>
        </is>
      </c>
    </row>
    <row r="75" ht="30.75" customHeight="1">
      <c r="A75" s="260" t="inlineStr">
        <is>
          <t>Accidental Overwrite</t>
        </is>
      </c>
      <c r="B75" s="256" t="inlineStr">
        <is>
          <t>Agent writes to wrong cells. Mitigation: hard-code whitelist of writable sheets (RM_Gantt, Board_Summary). Require confirmation.</t>
        </is>
      </c>
    </row>
    <row r="76">
      <c r="A76" s="260" t="inlineStr">
        <is>
          <t>Impractical Schedule</t>
        </is>
      </c>
      <c r="B76" s="256" t="inlineStr">
        <is>
          <t>Algorithm shifts project 16 weeks. Mitigation: cap max shift by priority (Highest:0, High:2, Medium:8, Low:16 weeks).</t>
        </is>
      </c>
    </row>
    <row r="77">
      <c r="A77" s="260" t="inlineStr">
        <is>
          <t>Adoption Risk</t>
        </is>
      </c>
      <c r="B77" s="256" t="inlineStr">
        <is>
          <t>Team doesn't use it. Mitigation: start with PMO lead only, prove value, then expand. Excel stays primary interface.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2026-03-24T17:23:54Z</dcterms:created>
  <dcterms:modified xsi:type="dcterms:W3CDTF">2026-03-31T20:09:42Z</dcterms:modified>
  <cp:revision>0</cp:revision>
</cp:coreProperties>
</file>