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20082678-4196-4F2E-9EA6-9A219D6990E5}" xr6:coauthVersionLast="47" xr6:coauthVersionMax="47" xr10:uidLastSave="{00000000-0000-0000-0000-000000000000}"/>
  <bookViews>
    <workbookView xWindow="0" yWindow="0" windowWidth="16384" windowHeight="8192" tabRatio="500" firstSheet="11" activeTab="11" xr2:uid="{00000000-000D-0000-FFFF-FFFF00000000}"/>
  </bookViews>
  <sheets>
    <sheet name="Dashboard" sheetId="1" r:id="rId1"/>
    <sheet name="Team Roster" sheetId="2" r:id="rId2"/>
    <sheet name="Project Portfolio" sheetId="3" r:id="rId3"/>
    <sheet name="Project Timeline" sheetId="4" r:id="rId4"/>
    <sheet name="RM_Guide" sheetId="12" r:id="rId5"/>
    <sheet name="Capacity Heatmap" sheetId="5" r:id="rId6"/>
    <sheet name="Resource Scheduler" sheetId="6" r:id="rId7"/>
    <sheet name="RM_Assumptions" sheetId="8" r:id="rId8"/>
    <sheet name="RM_Demand" sheetId="9" r:id="rId9"/>
    <sheet name="RM_SupplyVsDemand" sheetId="10" r:id="rId10"/>
    <sheet name="RM_WeeklyHeatmap" sheetId="11" r:id="rId11"/>
    <sheet name="RM_Gantt" sheetId="13" r:id="rId12"/>
    <sheet name="AI_Agent_Spec" sheetId="14" r:id="rId13"/>
  </sheets>
  <definedNames>
    <definedName name="_xlnm._FilterDatabase" localSheetId="2" hidden="1">'Project Portfolio'!$A$3:$AB$42</definedName>
    <definedName name="_xlnm._FilterDatabase" localSheetId="1" hidden="1">'Team Roster'!$A$3:$K$27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7" i="11" l="1"/>
  <c r="F47" i="11"/>
  <c r="E47" i="11"/>
  <c r="D47" i="11"/>
  <c r="C47" i="11"/>
  <c r="B47" i="11"/>
  <c r="B48" i="11" s="1"/>
  <c r="C48" i="11" s="1"/>
  <c r="D48" i="11" s="1"/>
  <c r="E48" i="11" s="1"/>
  <c r="F48" i="11" s="1"/>
  <c r="G48" i="11" s="1"/>
  <c r="E18" i="11"/>
  <c r="E19" i="11"/>
  <c r="E20" i="11"/>
  <c r="E21" i="11"/>
  <c r="D18" i="11"/>
  <c r="D19" i="11"/>
  <c r="D20" i="11"/>
  <c r="D21" i="11"/>
  <c r="D22" i="11"/>
  <c r="E22" i="11" s="1"/>
  <c r="D23" i="11"/>
  <c r="E23" i="11" s="1"/>
  <c r="D24" i="11"/>
  <c r="E24" i="11" s="1"/>
  <c r="D25" i="11"/>
  <c r="E25" i="11" s="1"/>
  <c r="D26" i="11"/>
  <c r="E26" i="11" s="1"/>
  <c r="D27" i="11"/>
  <c r="E27" i="11" s="1"/>
  <c r="D28" i="11"/>
  <c r="E28" i="11" s="1"/>
  <c r="D29" i="11"/>
  <c r="E29" i="11" s="1"/>
  <c r="E17" i="11"/>
  <c r="D17" i="11"/>
  <c r="B33" i="11"/>
  <c r="J18" i="11"/>
  <c r="K18" i="11"/>
  <c r="L18" i="11"/>
  <c r="M18" i="11"/>
  <c r="J19" i="11"/>
  <c r="K19" i="11"/>
  <c r="L19" i="11"/>
  <c r="M19" i="11"/>
  <c r="J20" i="11"/>
  <c r="K20" i="11"/>
  <c r="L20" i="11"/>
  <c r="M20" i="11"/>
  <c r="J21" i="11"/>
  <c r="K21" i="11"/>
  <c r="L21" i="11"/>
  <c r="M21" i="11"/>
  <c r="J22" i="11"/>
  <c r="K22" i="11"/>
  <c r="L22" i="11"/>
  <c r="M22" i="11"/>
  <c r="J23" i="11"/>
  <c r="K23" i="11"/>
  <c r="L23" i="11"/>
  <c r="M23" i="11"/>
  <c r="J24" i="11"/>
  <c r="K24" i="11"/>
  <c r="L24" i="11"/>
  <c r="M24" i="11"/>
  <c r="J25" i="11"/>
  <c r="K25" i="11"/>
  <c r="L25" i="11"/>
  <c r="M25" i="11"/>
  <c r="J26" i="11"/>
  <c r="K26" i="11"/>
  <c r="L26" i="11"/>
  <c r="M26" i="11"/>
  <c r="J27" i="11"/>
  <c r="K27" i="11"/>
  <c r="L27" i="11"/>
  <c r="M27" i="11"/>
  <c r="J28" i="11"/>
  <c r="K28" i="11"/>
  <c r="L28" i="11"/>
  <c r="M28" i="11"/>
  <c r="J29" i="11"/>
  <c r="K29" i="11"/>
  <c r="L29" i="11"/>
  <c r="M29" i="11"/>
  <c r="M17" i="11"/>
  <c r="L17" i="11"/>
  <c r="K17" i="11"/>
  <c r="J17" i="11"/>
  <c r="A18" i="11"/>
  <c r="B18" i="11"/>
  <c r="C18" i="11"/>
  <c r="F18" i="11"/>
  <c r="G18" i="11"/>
  <c r="H18" i="11"/>
  <c r="I18" i="11"/>
  <c r="A19" i="11"/>
  <c r="B19" i="11"/>
  <c r="C19" i="11"/>
  <c r="F19" i="11"/>
  <c r="G19" i="11"/>
  <c r="H19" i="11"/>
  <c r="I19" i="11"/>
  <c r="A20" i="11"/>
  <c r="B20" i="11"/>
  <c r="C20" i="11"/>
  <c r="F20" i="11"/>
  <c r="G20" i="11"/>
  <c r="H20" i="11"/>
  <c r="I20" i="11"/>
  <c r="A21" i="11"/>
  <c r="B21" i="11"/>
  <c r="C21" i="11"/>
  <c r="F21" i="11"/>
  <c r="G21" i="11"/>
  <c r="H21" i="11"/>
  <c r="I21" i="11"/>
  <c r="A22" i="11"/>
  <c r="B22" i="11"/>
  <c r="C22" i="11"/>
  <c r="F22" i="11"/>
  <c r="G22" i="11"/>
  <c r="H22" i="11"/>
  <c r="I22" i="11"/>
  <c r="A23" i="11"/>
  <c r="B23" i="11"/>
  <c r="C23" i="11"/>
  <c r="F23" i="11"/>
  <c r="G23" i="11"/>
  <c r="H23" i="11"/>
  <c r="I23" i="11"/>
  <c r="A24" i="11"/>
  <c r="B24" i="11"/>
  <c r="C24" i="11"/>
  <c r="F24" i="11"/>
  <c r="G24" i="11"/>
  <c r="H24" i="11"/>
  <c r="I24" i="11"/>
  <c r="A25" i="11"/>
  <c r="B25" i="11"/>
  <c r="C25" i="11"/>
  <c r="F25" i="11"/>
  <c r="G25" i="11"/>
  <c r="H25" i="11"/>
  <c r="I25" i="11"/>
  <c r="A26" i="11"/>
  <c r="B26" i="11"/>
  <c r="C26" i="11"/>
  <c r="F26" i="11"/>
  <c r="G26" i="11"/>
  <c r="H26" i="11"/>
  <c r="I26" i="11"/>
  <c r="A27" i="11"/>
  <c r="B27" i="11"/>
  <c r="C27" i="11"/>
  <c r="F27" i="11"/>
  <c r="G27" i="11"/>
  <c r="H27" i="11"/>
  <c r="I27" i="11"/>
  <c r="A28" i="11"/>
  <c r="B28" i="11"/>
  <c r="C28" i="11"/>
  <c r="F28" i="11"/>
  <c r="G28" i="11"/>
  <c r="H28" i="11"/>
  <c r="I28" i="11"/>
  <c r="A29" i="11"/>
  <c r="B29" i="11"/>
  <c r="C29" i="11"/>
  <c r="F29" i="11"/>
  <c r="G29" i="11"/>
  <c r="H29" i="11"/>
  <c r="I29" i="11"/>
  <c r="I17" i="11"/>
  <c r="H17" i="11"/>
  <c r="G17" i="11"/>
  <c r="C17" i="11"/>
  <c r="B17" i="11"/>
  <c r="A17" i="11"/>
  <c r="C13" i="11"/>
  <c r="E12" i="11"/>
  <c r="B12" i="11"/>
  <c r="D12" i="11" s="1"/>
  <c r="F12" i="11" s="1"/>
  <c r="E11" i="11"/>
  <c r="B11" i="11"/>
  <c r="D11" i="11" s="1"/>
  <c r="F11" i="11" s="1"/>
  <c r="E10" i="11"/>
  <c r="B10" i="11"/>
  <c r="D10" i="11" s="1"/>
  <c r="F10" i="11" s="1"/>
  <c r="E9" i="11"/>
  <c r="B9" i="11"/>
  <c r="D9" i="11" s="1"/>
  <c r="F9" i="11" s="1"/>
  <c r="E8" i="11"/>
  <c r="B8" i="11"/>
  <c r="D8" i="11" s="1"/>
  <c r="F8" i="11" s="1"/>
  <c r="E7" i="11"/>
  <c r="B7" i="11"/>
  <c r="D7" i="11" s="1"/>
  <c r="F7" i="11" s="1"/>
  <c r="E6" i="11"/>
  <c r="B6" i="11"/>
  <c r="A28" i="10"/>
  <c r="A27" i="10"/>
  <c r="A26" i="10"/>
  <c r="A25" i="10"/>
  <c r="A24" i="10"/>
  <c r="A23" i="10"/>
  <c r="A22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E18" i="10" s="1"/>
  <c r="D11" i="10"/>
  <c r="D18" i="10" s="1"/>
  <c r="C11" i="10"/>
  <c r="B11" i="10"/>
  <c r="B18" i="10" s="1"/>
  <c r="C6" i="10"/>
  <c r="A6" i="10"/>
  <c r="A37" i="9"/>
  <c r="A38" i="9"/>
  <c r="A39" i="9"/>
  <c r="A40" i="9"/>
  <c r="A41" i="9"/>
  <c r="A42" i="9"/>
  <c r="A43" i="9"/>
  <c r="A44" i="9"/>
  <c r="A45" i="9"/>
  <c r="A46" i="9"/>
  <c r="A47" i="9"/>
  <c r="A48" i="9"/>
  <c r="E30" i="9"/>
  <c r="E29" i="9"/>
  <c r="E28" i="9"/>
  <c r="E27" i="9"/>
  <c r="E26" i="9"/>
  <c r="E25" i="9"/>
  <c r="E24" i="9"/>
  <c r="B7" i="9"/>
  <c r="C7" i="9"/>
  <c r="D7" i="9"/>
  <c r="E7" i="9"/>
  <c r="B37" i="9" s="1"/>
  <c r="F7" i="9"/>
  <c r="G7" i="9"/>
  <c r="H7" i="9"/>
  <c r="I7" i="9"/>
  <c r="J7" i="9"/>
  <c r="K7" i="9"/>
  <c r="L7" i="9"/>
  <c r="B8" i="9"/>
  <c r="C8" i="9"/>
  <c r="D8" i="9"/>
  <c r="E8" i="9"/>
  <c r="B38" i="9" s="1"/>
  <c r="F8" i="9"/>
  <c r="G8" i="9"/>
  <c r="H8" i="9"/>
  <c r="I8" i="9"/>
  <c r="J8" i="9"/>
  <c r="K8" i="9"/>
  <c r="L8" i="9"/>
  <c r="B9" i="9"/>
  <c r="C9" i="9"/>
  <c r="D9" i="9"/>
  <c r="E9" i="9"/>
  <c r="B39" i="9" s="1"/>
  <c r="F9" i="9"/>
  <c r="G9" i="9"/>
  <c r="H9" i="9"/>
  <c r="I9" i="9"/>
  <c r="J9" i="9"/>
  <c r="K9" i="9"/>
  <c r="L9" i="9"/>
  <c r="B10" i="9"/>
  <c r="C10" i="9"/>
  <c r="D10" i="9"/>
  <c r="E10" i="9"/>
  <c r="B40" i="9" s="1"/>
  <c r="F10" i="9"/>
  <c r="G10" i="9"/>
  <c r="H10" i="9"/>
  <c r="I10" i="9"/>
  <c r="J10" i="9"/>
  <c r="K10" i="9"/>
  <c r="L10" i="9"/>
  <c r="B11" i="9"/>
  <c r="C11" i="9"/>
  <c r="D11" i="9"/>
  <c r="E11" i="9"/>
  <c r="B41" i="9" s="1"/>
  <c r="F11" i="9"/>
  <c r="G11" i="9"/>
  <c r="H11" i="9"/>
  <c r="I11" i="9"/>
  <c r="J11" i="9"/>
  <c r="K11" i="9"/>
  <c r="L11" i="9"/>
  <c r="B12" i="9"/>
  <c r="C12" i="9"/>
  <c r="D12" i="9"/>
  <c r="E12" i="9"/>
  <c r="B42" i="9" s="1"/>
  <c r="F12" i="9"/>
  <c r="G12" i="9"/>
  <c r="H12" i="9"/>
  <c r="I12" i="9"/>
  <c r="J12" i="9"/>
  <c r="K12" i="9"/>
  <c r="L12" i="9"/>
  <c r="B13" i="9"/>
  <c r="C13" i="9"/>
  <c r="D13" i="9"/>
  <c r="E13" i="9"/>
  <c r="B43" i="9" s="1"/>
  <c r="F13" i="9"/>
  <c r="G13" i="9"/>
  <c r="H13" i="9"/>
  <c r="I13" i="9"/>
  <c r="J13" i="9"/>
  <c r="K13" i="9"/>
  <c r="L13" i="9"/>
  <c r="B14" i="9"/>
  <c r="C14" i="9"/>
  <c r="D14" i="9"/>
  <c r="E14" i="9"/>
  <c r="B44" i="9" s="1"/>
  <c r="F14" i="9"/>
  <c r="G14" i="9"/>
  <c r="H14" i="9"/>
  <c r="I14" i="9"/>
  <c r="J14" i="9"/>
  <c r="K14" i="9"/>
  <c r="L14" i="9"/>
  <c r="B15" i="9"/>
  <c r="C15" i="9"/>
  <c r="D15" i="9"/>
  <c r="E15" i="9"/>
  <c r="B45" i="9" s="1"/>
  <c r="F15" i="9"/>
  <c r="G15" i="9"/>
  <c r="H15" i="9"/>
  <c r="I15" i="9"/>
  <c r="J15" i="9"/>
  <c r="K15" i="9"/>
  <c r="L15" i="9"/>
  <c r="B16" i="9"/>
  <c r="C16" i="9"/>
  <c r="D16" i="9"/>
  <c r="E16" i="9"/>
  <c r="B46" i="9" s="1"/>
  <c r="F16" i="9"/>
  <c r="G16" i="9"/>
  <c r="H16" i="9"/>
  <c r="I16" i="9"/>
  <c r="J16" i="9"/>
  <c r="K16" i="9"/>
  <c r="L16" i="9"/>
  <c r="B17" i="9"/>
  <c r="C17" i="9"/>
  <c r="D17" i="9"/>
  <c r="E17" i="9"/>
  <c r="B47" i="9" s="1"/>
  <c r="F17" i="9"/>
  <c r="G17" i="9"/>
  <c r="H17" i="9"/>
  <c r="I17" i="9"/>
  <c r="J17" i="9"/>
  <c r="K17" i="9"/>
  <c r="L17" i="9"/>
  <c r="B18" i="9"/>
  <c r="C18" i="9"/>
  <c r="D18" i="9"/>
  <c r="E18" i="9"/>
  <c r="B48" i="9" s="1"/>
  <c r="F18" i="9"/>
  <c r="G18" i="9"/>
  <c r="H18" i="9"/>
  <c r="I18" i="9"/>
  <c r="J18" i="9"/>
  <c r="K18" i="9"/>
  <c r="L18" i="9"/>
  <c r="A6" i="9" a="1"/>
  <c r="A6" i="9"/>
  <c r="D41" i="8"/>
  <c r="C41" i="8"/>
  <c r="B41" i="8"/>
  <c r="D40" i="8"/>
  <c r="C40" i="8"/>
  <c r="B40" i="8"/>
  <c r="D39" i="8"/>
  <c r="C39" i="8"/>
  <c r="B39" i="8"/>
  <c r="D38" i="8"/>
  <c r="C38" i="8"/>
  <c r="B38" i="8"/>
  <c r="D37" i="8"/>
  <c r="C37" i="8"/>
  <c r="B37" i="8"/>
  <c r="D36" i="8"/>
  <c r="C36" i="8"/>
  <c r="B36" i="8"/>
  <c r="D35" i="8"/>
  <c r="C35" i="8"/>
  <c r="B35" i="8"/>
  <c r="D34" i="8"/>
  <c r="C34" i="8"/>
  <c r="B34" i="8"/>
  <c r="D33" i="8"/>
  <c r="C33" i="8"/>
  <c r="B33" i="8"/>
  <c r="G29" i="8"/>
  <c r="F29" i="8"/>
  <c r="E29" i="8"/>
  <c r="D29" i="8"/>
  <c r="C29" i="8"/>
  <c r="B29" i="8"/>
  <c r="H28" i="8"/>
  <c r="H27" i="8"/>
  <c r="H26" i="8"/>
  <c r="H25" i="8"/>
  <c r="H24" i="8"/>
  <c r="H23" i="8"/>
  <c r="H22" i="8"/>
  <c r="H21" i="8"/>
  <c r="H16" i="8"/>
  <c r="B11" i="8"/>
  <c r="B10" i="8"/>
  <c r="F6" i="4" a="1"/>
  <c r="F6" i="4"/>
  <c r="F7" i="4" a="1"/>
  <c r="F7" i="4"/>
  <c r="F8" i="4" a="1"/>
  <c r="F8" i="4"/>
  <c r="F9" i="4" a="1"/>
  <c r="F9" i="4"/>
  <c r="F10" i="4" a="1"/>
  <c r="F10" i="4"/>
  <c r="F11" i="4" a="1"/>
  <c r="F11" i="4"/>
  <c r="F12" i="4" a="1"/>
  <c r="F12" i="4"/>
  <c r="F13" i="4" a="1"/>
  <c r="F13" i="4"/>
  <c r="F14" i="4" a="1"/>
  <c r="F14" i="4"/>
  <c r="F15" i="4" a="1"/>
  <c r="F15" i="4"/>
  <c r="F16" i="4" a="1"/>
  <c r="F16" i="4"/>
  <c r="F17" i="4" a="1"/>
  <c r="F17" i="4"/>
  <c r="F18" i="4" a="1"/>
  <c r="F18" i="4"/>
  <c r="F19" i="4" a="1"/>
  <c r="F19" i="4"/>
  <c r="F20" i="4" a="1"/>
  <c r="F20" i="4"/>
  <c r="F21" i="4" a="1"/>
  <c r="F21" i="4"/>
  <c r="F22" i="4" a="1"/>
  <c r="F22" i="4"/>
  <c r="F23" i="4" a="1"/>
  <c r="F23" i="4"/>
  <c r="F24" i="4" a="1"/>
  <c r="F24" i="4"/>
  <c r="F25" i="4" a="1"/>
  <c r="F25" i="4"/>
  <c r="F26" i="4" a="1"/>
  <c r="F26" i="4"/>
  <c r="F27" i="4" a="1"/>
  <c r="F27" i="4"/>
  <c r="F28" i="4" a="1"/>
  <c r="F28" i="4"/>
  <c r="F29" i="4" a="1"/>
  <c r="F29" i="4"/>
  <c r="F30" i="4" a="1"/>
  <c r="F30" i="4"/>
  <c r="F31" i="4" a="1"/>
  <c r="F31" i="4"/>
  <c r="F32" i="4" a="1"/>
  <c r="F32" i="4"/>
  <c r="F33" i="4" a="1"/>
  <c r="F33" i="4"/>
  <c r="E6" i="4" a="1"/>
  <c r="E6" i="4"/>
  <c r="E7" i="4" a="1"/>
  <c r="E7" i="4"/>
  <c r="E8" i="4" a="1"/>
  <c r="E8" i="4"/>
  <c r="E9" i="4" a="1"/>
  <c r="E9" i="4"/>
  <c r="E10" i="4" a="1"/>
  <c r="E10" i="4"/>
  <c r="E11" i="4" a="1"/>
  <c r="E11" i="4"/>
  <c r="E12" i="4" a="1"/>
  <c r="E12" i="4"/>
  <c r="E13" i="4" a="1"/>
  <c r="E13" i="4"/>
  <c r="E14" i="4" a="1"/>
  <c r="E14" i="4"/>
  <c r="E15" i="4" a="1"/>
  <c r="E15" i="4"/>
  <c r="E16" i="4" a="1"/>
  <c r="E16" i="4"/>
  <c r="E17" i="4" a="1"/>
  <c r="E17" i="4"/>
  <c r="E18" i="4" a="1"/>
  <c r="E18" i="4"/>
  <c r="E19" i="4" a="1"/>
  <c r="E19" i="4"/>
  <c r="E20" i="4" a="1"/>
  <c r="E20" i="4"/>
  <c r="E21" i="4" a="1"/>
  <c r="E21" i="4"/>
  <c r="E22" i="4" a="1"/>
  <c r="E22" i="4"/>
  <c r="E23" i="4" a="1"/>
  <c r="E23" i="4"/>
  <c r="E24" i="4" a="1"/>
  <c r="E24" i="4"/>
  <c r="E25" i="4" a="1"/>
  <c r="E25" i="4"/>
  <c r="E26" i="4" a="1"/>
  <c r="E26" i="4"/>
  <c r="E27" i="4" a="1"/>
  <c r="E27" i="4"/>
  <c r="E28" i="4" a="1"/>
  <c r="E28" i="4"/>
  <c r="E29" i="4" a="1"/>
  <c r="E29" i="4"/>
  <c r="E30" i="4" a="1"/>
  <c r="E30" i="4"/>
  <c r="E31" i="4" a="1"/>
  <c r="E31" i="4"/>
  <c r="E32" i="4" a="1"/>
  <c r="E32" i="4"/>
  <c r="E33" i="4" a="1"/>
  <c r="E33" i="4"/>
  <c r="D6" i="4" a="1"/>
  <c r="D6" i="4"/>
  <c r="D7" i="4" a="1"/>
  <c r="D7" i="4"/>
  <c r="D8" i="4" a="1"/>
  <c r="D8" i="4"/>
  <c r="D9" i="4" a="1"/>
  <c r="D9" i="4"/>
  <c r="D10" i="4" a="1"/>
  <c r="D10" i="4"/>
  <c r="D11" i="4" a="1"/>
  <c r="D11" i="4"/>
  <c r="D12" i="4" a="1"/>
  <c r="D12" i="4"/>
  <c r="D13" i="4" a="1"/>
  <c r="D13" i="4"/>
  <c r="D14" i="4" a="1"/>
  <c r="D14" i="4"/>
  <c r="D15" i="4" a="1"/>
  <c r="D15" i="4"/>
  <c r="D16" i="4" a="1"/>
  <c r="D16" i="4"/>
  <c r="D17" i="4" a="1"/>
  <c r="D17" i="4"/>
  <c r="D18" i="4" a="1"/>
  <c r="D18" i="4"/>
  <c r="D19" i="4" a="1"/>
  <c r="D19" i="4"/>
  <c r="D20" i="4" a="1"/>
  <c r="D20" i="4"/>
  <c r="D21" i="4" a="1"/>
  <c r="D21" i="4"/>
  <c r="D22" i="4" a="1"/>
  <c r="D22" i="4"/>
  <c r="D23" i="4" a="1"/>
  <c r="D23" i="4"/>
  <c r="D24" i="4" a="1"/>
  <c r="D24" i="4"/>
  <c r="D25" i="4" a="1"/>
  <c r="D25" i="4"/>
  <c r="D26" i="4" a="1"/>
  <c r="D26" i="4"/>
  <c r="D27" i="4" a="1"/>
  <c r="D27" i="4"/>
  <c r="D28" i="4" a="1"/>
  <c r="D28" i="4"/>
  <c r="D29" i="4" a="1"/>
  <c r="D29" i="4"/>
  <c r="D30" i="4" a="1"/>
  <c r="D30" i="4"/>
  <c r="D31" i="4" a="1"/>
  <c r="D31" i="4"/>
  <c r="D32" i="4" a="1"/>
  <c r="D32" i="4"/>
  <c r="D33" i="4" a="1"/>
  <c r="D33" i="4"/>
  <c r="C6" i="4" a="1"/>
  <c r="C6" i="4"/>
  <c r="C7" i="4" a="1"/>
  <c r="C7" i="4"/>
  <c r="C8" i="4" a="1"/>
  <c r="C8" i="4"/>
  <c r="C9" i="4" a="1"/>
  <c r="C9" i="4"/>
  <c r="C10" i="4" a="1"/>
  <c r="C10" i="4"/>
  <c r="C11" i="4" a="1"/>
  <c r="C11" i="4"/>
  <c r="C12" i="4" a="1"/>
  <c r="C12" i="4"/>
  <c r="C13" i="4" a="1"/>
  <c r="C13" i="4"/>
  <c r="C14" i="4" a="1"/>
  <c r="C14" i="4"/>
  <c r="C15" i="4" a="1"/>
  <c r="C15" i="4"/>
  <c r="C16" i="4" a="1"/>
  <c r="C16" i="4"/>
  <c r="C17" i="4" a="1"/>
  <c r="C17" i="4"/>
  <c r="C18" i="4" a="1"/>
  <c r="C18" i="4"/>
  <c r="C19" i="4" a="1"/>
  <c r="C19" i="4"/>
  <c r="C20" i="4" a="1"/>
  <c r="C20" i="4"/>
  <c r="C21" i="4" a="1"/>
  <c r="C21" i="4"/>
  <c r="C22" i="4" a="1"/>
  <c r="C22" i="4"/>
  <c r="C23" i="4" a="1"/>
  <c r="C23" i="4"/>
  <c r="C24" i="4" a="1"/>
  <c r="C24" i="4"/>
  <c r="C25" i="4" a="1"/>
  <c r="C25" i="4"/>
  <c r="C26" i="4" a="1"/>
  <c r="C26" i="4"/>
  <c r="C27" i="4" a="1"/>
  <c r="C27" i="4"/>
  <c r="C28" i="4" a="1"/>
  <c r="C28" i="4"/>
  <c r="C29" i="4" a="1"/>
  <c r="C29" i="4"/>
  <c r="C30" i="4" a="1"/>
  <c r="C30" i="4"/>
  <c r="C31" i="4" a="1"/>
  <c r="C31" i="4"/>
  <c r="C32" i="4" a="1"/>
  <c r="C32" i="4"/>
  <c r="C33" i="4" a="1"/>
  <c r="C33" i="4"/>
  <c r="B6" i="4" a="1"/>
  <c r="B6" i="4"/>
  <c r="B7" i="4" a="1"/>
  <c r="B7" i="4"/>
  <c r="B8" i="4" a="1"/>
  <c r="B8" i="4"/>
  <c r="B9" i="4" a="1"/>
  <c r="B9" i="4"/>
  <c r="B10" i="4" a="1"/>
  <c r="B10" i="4"/>
  <c r="B11" i="4" a="1"/>
  <c r="B11" i="4"/>
  <c r="B12" i="4" a="1"/>
  <c r="B12" i="4"/>
  <c r="B13" i="4" a="1"/>
  <c r="B13" i="4"/>
  <c r="B14" i="4" a="1"/>
  <c r="B14" i="4"/>
  <c r="B15" i="4" a="1"/>
  <c r="B15" i="4"/>
  <c r="B16" i="4" a="1"/>
  <c r="B16" i="4"/>
  <c r="B17" i="4" a="1"/>
  <c r="B17" i="4"/>
  <c r="B18" i="4" a="1"/>
  <c r="B18" i="4"/>
  <c r="B19" i="4" a="1"/>
  <c r="B19" i="4"/>
  <c r="B20" i="4" a="1"/>
  <c r="B20" i="4"/>
  <c r="B21" i="4" a="1"/>
  <c r="B21" i="4"/>
  <c r="B22" i="4" a="1"/>
  <c r="B22" i="4"/>
  <c r="B23" i="4" a="1"/>
  <c r="B23" i="4"/>
  <c r="B24" i="4" a="1"/>
  <c r="B24" i="4"/>
  <c r="B25" i="4" a="1"/>
  <c r="B25" i="4"/>
  <c r="B26" i="4" a="1"/>
  <c r="B26" i="4"/>
  <c r="B27" i="4" a="1"/>
  <c r="B27" i="4"/>
  <c r="B28" i="4" a="1"/>
  <c r="B28" i="4"/>
  <c r="B29" i="4" a="1"/>
  <c r="B29" i="4"/>
  <c r="B30" i="4" a="1"/>
  <c r="B30" i="4"/>
  <c r="B31" i="4" a="1"/>
  <c r="B31" i="4"/>
  <c r="B32" i="4" a="1"/>
  <c r="B32" i="4"/>
  <c r="B33" i="4" a="1"/>
  <c r="B33" i="4"/>
  <c r="F5" i="4" a="1"/>
  <c r="F5" i="4"/>
  <c r="E5" i="4" a="1"/>
  <c r="E5" i="4"/>
  <c r="D5" i="4" a="1"/>
  <c r="D5" i="4"/>
  <c r="C5" i="4" a="1"/>
  <c r="C5" i="4"/>
  <c r="B5" i="4" a="1"/>
  <c r="B5" i="4"/>
  <c r="I22" i="2"/>
  <c r="J22" i="2"/>
  <c r="K22" i="2"/>
  <c r="B17" i="6"/>
  <c r="C17" i="6"/>
  <c r="D17" i="6"/>
  <c r="E17" i="6"/>
  <c r="F17" i="6"/>
  <c r="G17" i="6"/>
  <c r="H17" i="6"/>
  <c r="I17" i="6"/>
  <c r="J17" i="6"/>
  <c r="K17" i="6" a="1"/>
  <c r="K17" i="6"/>
  <c r="B18" i="6"/>
  <c r="C18" i="6"/>
  <c r="D18" i="6"/>
  <c r="E18" i="6"/>
  <c r="F18" i="6"/>
  <c r="G18" i="6"/>
  <c r="H18" i="6"/>
  <c r="I18" i="6"/>
  <c r="J18" i="6"/>
  <c r="K18" i="6" a="1"/>
  <c r="K18" i="6"/>
  <c r="B19" i="6"/>
  <c r="C19" i="6"/>
  <c r="D19" i="6"/>
  <c r="E19" i="6"/>
  <c r="F19" i="6"/>
  <c r="G19" i="6"/>
  <c r="H19" i="6"/>
  <c r="I19" i="6"/>
  <c r="J19" i="6"/>
  <c r="K19" i="6" a="1"/>
  <c r="K19" i="6"/>
  <c r="B20" i="6"/>
  <c r="C20" i="6"/>
  <c r="D20" i="6"/>
  <c r="E20" i="6"/>
  <c r="F20" i="6"/>
  <c r="G20" i="6"/>
  <c r="H20" i="6"/>
  <c r="I20" i="6"/>
  <c r="J20" i="6"/>
  <c r="K20" i="6" a="1"/>
  <c r="K20" i="6"/>
  <c r="B21" i="6"/>
  <c r="C21" i="6"/>
  <c r="D21" i="6"/>
  <c r="E21" i="6"/>
  <c r="F21" i="6"/>
  <c r="G21" i="6"/>
  <c r="H21" i="6"/>
  <c r="I21" i="6"/>
  <c r="J21" i="6"/>
  <c r="K21" i="6" a="1"/>
  <c r="K21" i="6"/>
  <c r="B22" i="6"/>
  <c r="C22" i="6"/>
  <c r="D22" i="6"/>
  <c r="E22" i="6"/>
  <c r="F22" i="6"/>
  <c r="G22" i="6"/>
  <c r="H22" i="6"/>
  <c r="I22" i="6"/>
  <c r="J22" i="6"/>
  <c r="K22" i="6" a="1"/>
  <c r="K22" i="6"/>
  <c r="B23" i="6"/>
  <c r="C23" i="6"/>
  <c r="D23" i="6"/>
  <c r="E23" i="6"/>
  <c r="F23" i="6"/>
  <c r="G23" i="6"/>
  <c r="H23" i="6"/>
  <c r="I23" i="6"/>
  <c r="J23" i="6"/>
  <c r="K23" i="6" a="1"/>
  <c r="K23" i="6"/>
  <c r="K16" i="6" a="1"/>
  <c r="K16" i="6"/>
  <c r="J16" i="6"/>
  <c r="I16" i="6"/>
  <c r="H16" i="6"/>
  <c r="G16" i="6"/>
  <c r="F16" i="6"/>
  <c r="E16" i="6"/>
  <c r="D16" i="6"/>
  <c r="C16" i="6"/>
  <c r="B16" i="6"/>
  <c r="A16" i="6" a="1"/>
  <c r="A16" i="6"/>
  <c r="B4" i="1"/>
  <c r="E26" i="2"/>
  <c r="E25" i="2"/>
  <c r="E24" i="2"/>
  <c r="E21" i="2"/>
  <c r="E20" i="2"/>
  <c r="E19" i="2"/>
  <c r="E18" i="2"/>
  <c r="E17" i="2"/>
  <c r="E16" i="2"/>
  <c r="E15" i="2"/>
  <c r="E14" i="2"/>
  <c r="E13" i="2"/>
  <c r="E12" i="2"/>
  <c r="E9" i="2"/>
  <c r="E7" i="2"/>
  <c r="E6" i="2"/>
  <c r="S5" i="3"/>
  <c r="S6" i="3"/>
  <c r="S29" i="3"/>
  <c r="S7" i="3"/>
  <c r="S27" i="3"/>
  <c r="S8" i="3"/>
  <c r="S28" i="3"/>
  <c r="S9" i="3"/>
  <c r="S10" i="3"/>
  <c r="S11" i="3"/>
  <c r="S12" i="3"/>
  <c r="S13" i="3"/>
  <c r="S14" i="3"/>
  <c r="S15" i="3"/>
  <c r="S16" i="3"/>
  <c r="S4" i="3"/>
  <c r="D12" i="6"/>
  <c r="B12" i="6"/>
  <c r="D11" i="6"/>
  <c r="B11" i="6"/>
  <c r="B10" i="6"/>
  <c r="B9" i="6"/>
  <c r="B8" i="6"/>
  <c r="B7" i="6"/>
  <c r="B6" i="6"/>
  <c r="B5" i="6"/>
  <c r="B2" i="6"/>
  <c r="E4" i="6"/>
  <c r="D8" i="6"/>
  <c r="D9" i="6"/>
  <c r="D6" i="6"/>
  <c r="D10" i="6"/>
  <c r="D7" i="6"/>
  <c r="D5" i="6"/>
  <c r="F4" i="5"/>
  <c r="AC25" i="3"/>
  <c r="AC18" i="3"/>
  <c r="AC19" i="3"/>
  <c r="AC20" i="3"/>
  <c r="AC21" i="3"/>
  <c r="AC22" i="3"/>
  <c r="AC23" i="3"/>
  <c r="AC24" i="3"/>
  <c r="AC17" i="3"/>
  <c r="I19" i="1"/>
  <c r="H19" i="1"/>
  <c r="C10" i="1"/>
  <c r="D9" i="1"/>
  <c r="C9" i="1"/>
  <c r="D14" i="1"/>
  <c r="C14" i="1"/>
  <c r="D13" i="1"/>
  <c r="C13" i="1"/>
  <c r="D12" i="1"/>
  <c r="C12" i="1"/>
  <c r="D10" i="1"/>
  <c r="D11" i="1"/>
  <c r="C11" i="1"/>
  <c r="G27" i="2"/>
  <c r="I26" i="2"/>
  <c r="J26" i="2"/>
  <c r="K26" i="2"/>
  <c r="D26" i="5" s="1"/>
  <c r="AC4" i="3"/>
  <c r="AC5" i="3"/>
  <c r="AC6" i="3"/>
  <c r="AC29" i="3"/>
  <c r="AC7" i="3"/>
  <c r="AC27" i="3"/>
  <c r="AC8" i="3"/>
  <c r="AC28" i="3"/>
  <c r="AC26" i="3"/>
  <c r="AC9" i="3"/>
  <c r="AC10" i="3"/>
  <c r="AC11" i="3"/>
  <c r="AC12" i="3"/>
  <c r="AC13" i="3"/>
  <c r="AC14" i="3"/>
  <c r="AC15" i="3"/>
  <c r="AC16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G19" i="1"/>
  <c r="F19" i="1"/>
  <c r="E19" i="1"/>
  <c r="D19" i="1"/>
  <c r="C19" i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3" i="2"/>
  <c r="E13" i="1" s="1"/>
  <c r="J24" i="2"/>
  <c r="J25" i="2"/>
  <c r="J4" i="2"/>
  <c r="I5" i="2"/>
  <c r="K5" i="2" s="1"/>
  <c r="I6" i="2"/>
  <c r="K6" i="2" s="1"/>
  <c r="I7" i="2"/>
  <c r="K7" i="2" s="1"/>
  <c r="I8" i="2"/>
  <c r="K8" i="2" s="1"/>
  <c r="I9" i="2"/>
  <c r="K9" i="2" s="1"/>
  <c r="I10" i="2"/>
  <c r="K10" i="2" s="1"/>
  <c r="I11" i="2"/>
  <c r="K11" i="2" s="1"/>
  <c r="I12" i="2"/>
  <c r="K12" i="2" s="1"/>
  <c r="I13" i="2"/>
  <c r="K13" i="2" s="1"/>
  <c r="I14" i="2"/>
  <c r="K14" i="2" s="1"/>
  <c r="I15" i="2"/>
  <c r="K15" i="2" s="1"/>
  <c r="I16" i="2"/>
  <c r="K16" i="2" s="1"/>
  <c r="I17" i="2"/>
  <c r="K17" i="2" s="1"/>
  <c r="I18" i="2"/>
  <c r="K18" i="2" s="1"/>
  <c r="I19" i="2"/>
  <c r="K19" i="2" s="1"/>
  <c r="I20" i="2"/>
  <c r="K20" i="2" s="1"/>
  <c r="I21" i="2"/>
  <c r="K21" i="2" s="1"/>
  <c r="I23" i="2"/>
  <c r="K23" i="2" s="1"/>
  <c r="F13" i="1" s="1"/>
  <c r="I24" i="2"/>
  <c r="K24" i="2" s="1"/>
  <c r="I25" i="2"/>
  <c r="K25" i="2" s="1"/>
  <c r="I4" i="2"/>
  <c r="K4" i="2" s="1"/>
  <c r="J19" i="1"/>
  <c r="D15" i="1"/>
  <c r="C15" i="1"/>
  <c r="C33" i="11" l="1"/>
  <c r="B13" i="11"/>
  <c r="D6" i="11"/>
  <c r="G6" i="10"/>
  <c r="E6" i="10"/>
  <c r="C18" i="10"/>
  <c r="G18" i="10" s="1"/>
  <c r="G11" i="10"/>
  <c r="F11" i="10"/>
  <c r="G12" i="10"/>
  <c r="F12" i="10"/>
  <c r="H12" i="10" s="1"/>
  <c r="G13" i="10"/>
  <c r="F13" i="10"/>
  <c r="H13" i="10" s="1"/>
  <c r="G14" i="10"/>
  <c r="F14" i="10"/>
  <c r="H14" i="10" s="1"/>
  <c r="G15" i="10"/>
  <c r="F15" i="10"/>
  <c r="H15" i="10" s="1"/>
  <c r="G16" i="10"/>
  <c r="F16" i="10"/>
  <c r="H16" i="10" s="1"/>
  <c r="G17" i="10"/>
  <c r="F17" i="10"/>
  <c r="H17" i="10" s="1"/>
  <c r="C48" i="9"/>
  <c r="D48" i="9"/>
  <c r="E48" i="9"/>
  <c r="F48" i="9"/>
  <c r="G48" i="9"/>
  <c r="H48" i="9"/>
  <c r="I48" i="9"/>
  <c r="C47" i="9"/>
  <c r="D47" i="9"/>
  <c r="E47" i="9"/>
  <c r="F47" i="9"/>
  <c r="G47" i="9"/>
  <c r="H47" i="9"/>
  <c r="I47" i="9"/>
  <c r="C46" i="9"/>
  <c r="D46" i="9"/>
  <c r="E46" i="9"/>
  <c r="F46" i="9"/>
  <c r="G46" i="9"/>
  <c r="H46" i="9"/>
  <c r="I46" i="9"/>
  <c r="C45" i="9"/>
  <c r="D45" i="9"/>
  <c r="E45" i="9"/>
  <c r="F45" i="9"/>
  <c r="G45" i="9"/>
  <c r="H45" i="9"/>
  <c r="I45" i="9"/>
  <c r="C44" i="9"/>
  <c r="D44" i="9"/>
  <c r="E44" i="9"/>
  <c r="F44" i="9"/>
  <c r="G44" i="9"/>
  <c r="H44" i="9"/>
  <c r="I44" i="9"/>
  <c r="C43" i="9"/>
  <c r="D43" i="9"/>
  <c r="E43" i="9"/>
  <c r="F43" i="9"/>
  <c r="G43" i="9"/>
  <c r="H43" i="9"/>
  <c r="I43" i="9"/>
  <c r="C42" i="9"/>
  <c r="D42" i="9"/>
  <c r="E42" i="9"/>
  <c r="F42" i="9"/>
  <c r="G42" i="9"/>
  <c r="H42" i="9"/>
  <c r="I42" i="9"/>
  <c r="C41" i="9"/>
  <c r="D41" i="9"/>
  <c r="E41" i="9"/>
  <c r="F41" i="9"/>
  <c r="G41" i="9"/>
  <c r="H41" i="9"/>
  <c r="I41" i="9"/>
  <c r="C40" i="9"/>
  <c r="D40" i="9"/>
  <c r="E40" i="9"/>
  <c r="F40" i="9"/>
  <c r="G40" i="9"/>
  <c r="H40" i="9"/>
  <c r="I40" i="9"/>
  <c r="C39" i="9"/>
  <c r="D39" i="9"/>
  <c r="E39" i="9"/>
  <c r="F39" i="9"/>
  <c r="G39" i="9"/>
  <c r="H39" i="9"/>
  <c r="I39" i="9"/>
  <c r="C38" i="9"/>
  <c r="D38" i="9"/>
  <c r="E38" i="9"/>
  <c r="F38" i="9"/>
  <c r="G38" i="9"/>
  <c r="H38" i="9"/>
  <c r="I38" i="9"/>
  <c r="C37" i="9"/>
  <c r="D37" i="9"/>
  <c r="E37" i="9"/>
  <c r="F37" i="9"/>
  <c r="G37" i="9"/>
  <c r="H37" i="9"/>
  <c r="I37" i="9"/>
  <c r="A36" i="9"/>
  <c r="L6" i="9"/>
  <c r="K6" i="9"/>
  <c r="J6" i="9"/>
  <c r="I6" i="9"/>
  <c r="H6" i="9"/>
  <c r="G6" i="9"/>
  <c r="F6" i="9"/>
  <c r="E6" i="9"/>
  <c r="D6" i="9"/>
  <c r="C6" i="9"/>
  <c r="B6" i="9"/>
  <c r="E31" i="9"/>
  <c r="L16" i="6" a="1"/>
  <c r="L16" i="6" s="1"/>
  <c r="M16" i="6" s="1"/>
  <c r="L17" i="6" a="1"/>
  <c r="L17" i="6" s="1"/>
  <c r="M17" i="6" s="1"/>
  <c r="L18" i="6" a="1"/>
  <c r="L18" i="6" s="1"/>
  <c r="M18" i="6" s="1"/>
  <c r="L19" i="6" a="1"/>
  <c r="L19" i="6" s="1"/>
  <c r="M19" i="6" s="1"/>
  <c r="L20" i="6" a="1"/>
  <c r="L20" i="6" s="1"/>
  <c r="M20" i="6" s="1"/>
  <c r="L21" i="6" a="1"/>
  <c r="L21" i="6" s="1"/>
  <c r="M21" i="6" s="1"/>
  <c r="L22" i="6" a="1"/>
  <c r="L22" i="6" s="1"/>
  <c r="M22" i="6" s="1"/>
  <c r="L23" i="6" a="1"/>
  <c r="L23" i="6" s="1"/>
  <c r="M23" i="6" s="1"/>
  <c r="E26" i="5" a="1"/>
  <c r="E26" i="5" s="1"/>
  <c r="F26" i="5" a="1"/>
  <c r="F26" i="5" s="1"/>
  <c r="G26" i="5" a="1"/>
  <c r="G26" i="5" s="1"/>
  <c r="H26" i="5" a="1"/>
  <c r="H26" i="5" s="1"/>
  <c r="I26" i="5" a="1"/>
  <c r="I26" i="5" s="1"/>
  <c r="J26" i="5" a="1"/>
  <c r="J26" i="5" s="1"/>
  <c r="K26" i="5" a="1"/>
  <c r="K26" i="5" s="1"/>
  <c r="L26" i="5" a="1"/>
  <c r="L26" i="5" s="1"/>
  <c r="M26" i="5" a="1"/>
  <c r="M26" i="5" s="1"/>
  <c r="N26" i="5" a="1"/>
  <c r="N26" i="5" s="1"/>
  <c r="O26" i="5" a="1"/>
  <c r="O26" i="5" s="1"/>
  <c r="P26" i="5" a="1"/>
  <c r="P26" i="5" s="1"/>
  <c r="Q26" i="5" a="1"/>
  <c r="Q26" i="5" s="1"/>
  <c r="R26" i="5" a="1"/>
  <c r="R26" i="5" s="1"/>
  <c r="S26" i="5" a="1"/>
  <c r="S26" i="5" s="1"/>
  <c r="T26" i="5" a="1"/>
  <c r="T26" i="5" s="1"/>
  <c r="U26" i="5" a="1"/>
  <c r="U26" i="5" s="1"/>
  <c r="V26" i="5" a="1"/>
  <c r="V26" i="5" s="1"/>
  <c r="W26" i="5" a="1"/>
  <c r="W26" i="5" s="1"/>
  <c r="X26" i="5" a="1"/>
  <c r="X26" i="5" s="1"/>
  <c r="Y26" i="5" a="1"/>
  <c r="Y26" i="5" s="1"/>
  <c r="Z26" i="5" a="1"/>
  <c r="Z26" i="5" s="1"/>
  <c r="AA26" i="5" a="1"/>
  <c r="AA26" i="5" s="1"/>
  <c r="AB26" i="5" a="1"/>
  <c r="AB26" i="5" s="1"/>
  <c r="AC26" i="5" a="1"/>
  <c r="AC26" i="5" s="1"/>
  <c r="AD26" i="5" a="1"/>
  <c r="AD26" i="5" s="1"/>
  <c r="F4" i="6"/>
  <c r="G4" i="5"/>
  <c r="F9" i="1"/>
  <c r="K27" i="2"/>
  <c r="E4" i="1" s="1"/>
  <c r="F12" i="1"/>
  <c r="F14" i="1"/>
  <c r="F10" i="1"/>
  <c r="F11" i="1"/>
  <c r="E9" i="1"/>
  <c r="J27" i="2"/>
  <c r="E12" i="1"/>
  <c r="E14" i="1"/>
  <c r="E10" i="1"/>
  <c r="E11" i="1"/>
  <c r="D25" i="5"/>
  <c r="D24" i="5"/>
  <c r="D23" i="5"/>
  <c r="D22" i="5"/>
  <c r="D21" i="5"/>
  <c r="D20" i="5"/>
  <c r="D19" i="5"/>
  <c r="D18" i="5"/>
  <c r="D17" i="5"/>
  <c r="D16" i="5"/>
  <c r="D15" i="5"/>
  <c r="D14" i="5"/>
  <c r="F15" i="1"/>
  <c r="D13" i="5"/>
  <c r="D12" i="5"/>
  <c r="D11" i="5"/>
  <c r="D10" i="5"/>
  <c r="D9" i="5"/>
  <c r="H27" i="2"/>
  <c r="D8" i="5"/>
  <c r="D7" i="5"/>
  <c r="D6" i="5"/>
  <c r="D5" i="5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G11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Z32" i="4"/>
  <c r="BA32" i="4"/>
  <c r="BB32" i="4"/>
  <c r="BC32" i="4"/>
  <c r="BD32" i="4"/>
  <c r="BE32" i="4"/>
  <c r="BF32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D33" i="11" l="1"/>
  <c r="F17" i="11"/>
  <c r="D13" i="11"/>
  <c r="F6" i="11"/>
  <c r="D28" i="10"/>
  <c r="C28" i="10"/>
  <c r="B28" i="10"/>
  <c r="D27" i="10"/>
  <c r="C27" i="10"/>
  <c r="B27" i="10"/>
  <c r="D26" i="10"/>
  <c r="C26" i="10"/>
  <c r="B26" i="10"/>
  <c r="D25" i="10"/>
  <c r="C25" i="10"/>
  <c r="B25" i="10"/>
  <c r="D24" i="10"/>
  <c r="C24" i="10"/>
  <c r="B24" i="10"/>
  <c r="D23" i="10"/>
  <c r="C23" i="10"/>
  <c r="B23" i="10"/>
  <c r="F18" i="10"/>
  <c r="H11" i="10"/>
  <c r="D22" i="10"/>
  <c r="C22" i="10"/>
  <c r="B22" i="10"/>
  <c r="B30" i="9" a="1"/>
  <c r="B30" i="9" s="1"/>
  <c r="D30" i="9" s="1"/>
  <c r="F30" i="9" s="1"/>
  <c r="G30" i="9" s="1"/>
  <c r="B29" i="9" a="1"/>
  <c r="B29" i="9" s="1"/>
  <c r="D29" i="9" s="1"/>
  <c r="F29" i="9" s="1"/>
  <c r="G29" i="9" s="1"/>
  <c r="B28" i="9" a="1"/>
  <c r="B28" i="9" s="1"/>
  <c r="D28" i="9" s="1"/>
  <c r="F28" i="9" s="1"/>
  <c r="G28" i="9" s="1"/>
  <c r="B27" i="9" a="1"/>
  <c r="B27" i="9" s="1"/>
  <c r="D27" i="9" s="1"/>
  <c r="F27" i="9" s="1"/>
  <c r="G27" i="9" s="1"/>
  <c r="B26" i="9" a="1"/>
  <c r="B26" i="9" s="1"/>
  <c r="D26" i="9" s="1"/>
  <c r="F26" i="9" s="1"/>
  <c r="G26" i="9" s="1"/>
  <c r="B25" i="9" a="1"/>
  <c r="B25" i="9" s="1"/>
  <c r="D25" i="9" s="1"/>
  <c r="F25" i="9" s="1"/>
  <c r="G25" i="9" s="1"/>
  <c r="B24" i="9" a="1"/>
  <c r="B24" i="9" s="1"/>
  <c r="B36" i="9"/>
  <c r="E5" i="5" a="1"/>
  <c r="E5" i="5" s="1"/>
  <c r="F5" i="5" a="1"/>
  <c r="F5" i="5" s="1"/>
  <c r="G5" i="5" a="1"/>
  <c r="G5" i="5" s="1"/>
  <c r="H5" i="5" a="1"/>
  <c r="H5" i="5" s="1"/>
  <c r="I5" i="5" a="1"/>
  <c r="I5" i="5" s="1"/>
  <c r="J5" i="5" a="1"/>
  <c r="J5" i="5" s="1"/>
  <c r="K5" i="5" a="1"/>
  <c r="K5" i="5" s="1"/>
  <c r="L5" i="5" a="1"/>
  <c r="L5" i="5" s="1"/>
  <c r="M5" i="5" a="1"/>
  <c r="M5" i="5" s="1"/>
  <c r="N5" i="5" a="1"/>
  <c r="N5" i="5" s="1"/>
  <c r="O5" i="5" a="1"/>
  <c r="O5" i="5" s="1"/>
  <c r="P5" i="5" a="1"/>
  <c r="P5" i="5" s="1"/>
  <c r="Q5" i="5" a="1"/>
  <c r="Q5" i="5" s="1"/>
  <c r="R5" i="5" a="1"/>
  <c r="R5" i="5" s="1"/>
  <c r="S5" i="5" a="1"/>
  <c r="S5" i="5" s="1"/>
  <c r="T5" i="5" a="1"/>
  <c r="T5" i="5" s="1"/>
  <c r="U5" i="5" a="1"/>
  <c r="U5" i="5" s="1"/>
  <c r="V5" i="5" a="1"/>
  <c r="V5" i="5" s="1"/>
  <c r="W5" i="5" a="1"/>
  <c r="W5" i="5" s="1"/>
  <c r="X5" i="5" a="1"/>
  <c r="X5" i="5" s="1"/>
  <c r="Y5" i="5" a="1"/>
  <c r="Y5" i="5" s="1"/>
  <c r="Z5" i="5" a="1"/>
  <c r="Z5" i="5" s="1"/>
  <c r="AA5" i="5" a="1"/>
  <c r="AA5" i="5" s="1"/>
  <c r="AB5" i="5" a="1"/>
  <c r="AB5" i="5" s="1"/>
  <c r="AC5" i="5" a="1"/>
  <c r="AC5" i="5" s="1"/>
  <c r="AD5" i="5" a="1"/>
  <c r="AD5" i="5" s="1"/>
  <c r="E6" i="5" a="1"/>
  <c r="E6" i="5" s="1"/>
  <c r="F6" i="5" a="1"/>
  <c r="F6" i="5" s="1"/>
  <c r="G6" i="5" a="1"/>
  <c r="G6" i="5" s="1"/>
  <c r="H6" i="5" a="1"/>
  <c r="H6" i="5" s="1"/>
  <c r="I6" i="5" a="1"/>
  <c r="I6" i="5" s="1"/>
  <c r="J6" i="5" a="1"/>
  <c r="J6" i="5" s="1"/>
  <c r="K6" i="5" a="1"/>
  <c r="K6" i="5" s="1"/>
  <c r="L6" i="5" a="1"/>
  <c r="L6" i="5" s="1"/>
  <c r="M6" i="5" a="1"/>
  <c r="M6" i="5" s="1"/>
  <c r="N6" i="5" a="1"/>
  <c r="N6" i="5" s="1"/>
  <c r="O6" i="5" a="1"/>
  <c r="O6" i="5" s="1"/>
  <c r="P6" i="5" a="1"/>
  <c r="P6" i="5" s="1"/>
  <c r="Q6" i="5" a="1"/>
  <c r="Q6" i="5" s="1"/>
  <c r="R6" i="5" a="1"/>
  <c r="R6" i="5" s="1"/>
  <c r="S6" i="5" a="1"/>
  <c r="S6" i="5" s="1"/>
  <c r="T6" i="5" a="1"/>
  <c r="T6" i="5" s="1"/>
  <c r="U6" i="5" a="1"/>
  <c r="U6" i="5" s="1"/>
  <c r="V6" i="5" a="1"/>
  <c r="V6" i="5" s="1"/>
  <c r="W6" i="5" a="1"/>
  <c r="W6" i="5" s="1"/>
  <c r="X6" i="5" a="1"/>
  <c r="X6" i="5" s="1"/>
  <c r="Y6" i="5" a="1"/>
  <c r="Y6" i="5" s="1"/>
  <c r="Z6" i="5" a="1"/>
  <c r="Z6" i="5" s="1"/>
  <c r="AA6" i="5" a="1"/>
  <c r="AA6" i="5" s="1"/>
  <c r="AB6" i="5" a="1"/>
  <c r="AB6" i="5" s="1"/>
  <c r="AC6" i="5" a="1"/>
  <c r="AC6" i="5" s="1"/>
  <c r="AD6" i="5" a="1"/>
  <c r="AD6" i="5" s="1"/>
  <c r="C10" i="6"/>
  <c r="E7" i="5" a="1"/>
  <c r="E7" i="5" s="1"/>
  <c r="F7" i="5" a="1"/>
  <c r="F7" i="5" s="1"/>
  <c r="G7" i="5" a="1"/>
  <c r="G7" i="5" s="1"/>
  <c r="H7" i="5" a="1"/>
  <c r="H7" i="5" s="1"/>
  <c r="I7" i="5" a="1"/>
  <c r="I7" i="5" s="1"/>
  <c r="J7" i="5" a="1"/>
  <c r="J7" i="5" s="1"/>
  <c r="K7" i="5" a="1"/>
  <c r="K7" i="5" s="1"/>
  <c r="L7" i="5" a="1"/>
  <c r="L7" i="5" s="1"/>
  <c r="M7" i="5" a="1"/>
  <c r="M7" i="5" s="1"/>
  <c r="N7" i="5" a="1"/>
  <c r="N7" i="5" s="1"/>
  <c r="O7" i="5" a="1"/>
  <c r="O7" i="5" s="1"/>
  <c r="P7" i="5" a="1"/>
  <c r="P7" i="5" s="1"/>
  <c r="Q7" i="5" a="1"/>
  <c r="Q7" i="5" s="1"/>
  <c r="R7" i="5" a="1"/>
  <c r="R7" i="5" s="1"/>
  <c r="S7" i="5" a="1"/>
  <c r="S7" i="5" s="1"/>
  <c r="T7" i="5" a="1"/>
  <c r="T7" i="5" s="1"/>
  <c r="U7" i="5" a="1"/>
  <c r="U7" i="5" s="1"/>
  <c r="V7" i="5" a="1"/>
  <c r="V7" i="5" s="1"/>
  <c r="W7" i="5" a="1"/>
  <c r="W7" i="5" s="1"/>
  <c r="X7" i="5" a="1"/>
  <c r="X7" i="5" s="1"/>
  <c r="Y7" i="5" a="1"/>
  <c r="Y7" i="5" s="1"/>
  <c r="Z7" i="5" a="1"/>
  <c r="Z7" i="5" s="1"/>
  <c r="AA7" i="5" a="1"/>
  <c r="AA7" i="5" s="1"/>
  <c r="AB7" i="5" a="1"/>
  <c r="AB7" i="5" s="1"/>
  <c r="AC7" i="5" a="1"/>
  <c r="AC7" i="5" s="1"/>
  <c r="AD7" i="5" a="1"/>
  <c r="AD7" i="5" s="1"/>
  <c r="E8" i="5" a="1"/>
  <c r="E8" i="5" s="1"/>
  <c r="F8" i="5" a="1"/>
  <c r="F8" i="5" s="1"/>
  <c r="G8" i="5" a="1"/>
  <c r="G8" i="5" s="1"/>
  <c r="H8" i="5" a="1"/>
  <c r="H8" i="5" s="1"/>
  <c r="I8" i="5" a="1"/>
  <c r="I8" i="5" s="1"/>
  <c r="J8" i="5" a="1"/>
  <c r="J8" i="5" s="1"/>
  <c r="K8" i="5" a="1"/>
  <c r="K8" i="5" s="1"/>
  <c r="L8" i="5" a="1"/>
  <c r="L8" i="5" s="1"/>
  <c r="M8" i="5" a="1"/>
  <c r="M8" i="5" s="1"/>
  <c r="N8" i="5" a="1"/>
  <c r="N8" i="5" s="1"/>
  <c r="O8" i="5" a="1"/>
  <c r="O8" i="5" s="1"/>
  <c r="P8" i="5" a="1"/>
  <c r="P8" i="5" s="1"/>
  <c r="Q8" i="5" a="1"/>
  <c r="Q8" i="5" s="1"/>
  <c r="R8" i="5" a="1"/>
  <c r="R8" i="5" s="1"/>
  <c r="S8" i="5" a="1"/>
  <c r="S8" i="5" s="1"/>
  <c r="T8" i="5" a="1"/>
  <c r="T8" i="5" s="1"/>
  <c r="U8" i="5" a="1"/>
  <c r="U8" i="5" s="1"/>
  <c r="V8" i="5" a="1"/>
  <c r="V8" i="5" s="1"/>
  <c r="W8" i="5" a="1"/>
  <c r="W8" i="5" s="1"/>
  <c r="X8" i="5" a="1"/>
  <c r="X8" i="5" s="1"/>
  <c r="Y8" i="5" a="1"/>
  <c r="Y8" i="5" s="1"/>
  <c r="Z8" i="5" a="1"/>
  <c r="Z8" i="5" s="1"/>
  <c r="AA8" i="5" a="1"/>
  <c r="AA8" i="5" s="1"/>
  <c r="AB8" i="5" a="1"/>
  <c r="AB8" i="5" s="1"/>
  <c r="AC8" i="5" a="1"/>
  <c r="AC8" i="5" s="1"/>
  <c r="AD8" i="5" a="1"/>
  <c r="AD8" i="5" s="1"/>
  <c r="E9" i="5" a="1"/>
  <c r="E9" i="5" s="1"/>
  <c r="F9" i="5" a="1"/>
  <c r="F9" i="5" s="1"/>
  <c r="G9" i="5" a="1"/>
  <c r="G9" i="5" s="1"/>
  <c r="H9" i="5" a="1"/>
  <c r="H9" i="5" s="1"/>
  <c r="I9" i="5" a="1"/>
  <c r="I9" i="5" s="1"/>
  <c r="J9" i="5" a="1"/>
  <c r="J9" i="5" s="1"/>
  <c r="K9" i="5" a="1"/>
  <c r="K9" i="5" s="1"/>
  <c r="L9" i="5" a="1"/>
  <c r="L9" i="5" s="1"/>
  <c r="M9" i="5" a="1"/>
  <c r="M9" i="5" s="1"/>
  <c r="N9" i="5" a="1"/>
  <c r="N9" i="5" s="1"/>
  <c r="O9" i="5" a="1"/>
  <c r="O9" i="5" s="1"/>
  <c r="P9" i="5" a="1"/>
  <c r="P9" i="5" s="1"/>
  <c r="Q9" i="5" a="1"/>
  <c r="Q9" i="5" s="1"/>
  <c r="R9" i="5" a="1"/>
  <c r="R9" i="5" s="1"/>
  <c r="S9" i="5" a="1"/>
  <c r="S9" i="5" s="1"/>
  <c r="T9" i="5" a="1"/>
  <c r="T9" i="5" s="1"/>
  <c r="U9" i="5" a="1"/>
  <c r="U9" i="5" s="1"/>
  <c r="V9" i="5" a="1"/>
  <c r="V9" i="5" s="1"/>
  <c r="W9" i="5" a="1"/>
  <c r="W9" i="5" s="1"/>
  <c r="X9" i="5" a="1"/>
  <c r="X9" i="5" s="1"/>
  <c r="Y9" i="5" a="1"/>
  <c r="Y9" i="5" s="1"/>
  <c r="Z9" i="5" a="1"/>
  <c r="Z9" i="5" s="1"/>
  <c r="AA9" i="5" a="1"/>
  <c r="AA9" i="5" s="1"/>
  <c r="AB9" i="5" a="1"/>
  <c r="AB9" i="5" s="1"/>
  <c r="AC9" i="5" a="1"/>
  <c r="AC9" i="5" s="1"/>
  <c r="AD9" i="5" a="1"/>
  <c r="AD9" i="5" s="1"/>
  <c r="E10" i="5" a="1"/>
  <c r="E10" i="5" s="1"/>
  <c r="F10" i="5" a="1"/>
  <c r="F10" i="5" s="1"/>
  <c r="G10" i="5" a="1"/>
  <c r="G10" i="5" s="1"/>
  <c r="H10" i="5" a="1"/>
  <c r="H10" i="5" s="1"/>
  <c r="I10" i="5" a="1"/>
  <c r="I10" i="5" s="1"/>
  <c r="J10" i="5" a="1"/>
  <c r="J10" i="5" s="1"/>
  <c r="K10" i="5" a="1"/>
  <c r="K10" i="5" s="1"/>
  <c r="L10" i="5" a="1"/>
  <c r="L10" i="5" s="1"/>
  <c r="M10" i="5" a="1"/>
  <c r="M10" i="5" s="1"/>
  <c r="N10" i="5" a="1"/>
  <c r="N10" i="5" s="1"/>
  <c r="O10" i="5" a="1"/>
  <c r="O10" i="5" s="1"/>
  <c r="P10" i="5" a="1"/>
  <c r="P10" i="5" s="1"/>
  <c r="Q10" i="5" a="1"/>
  <c r="Q10" i="5" s="1"/>
  <c r="R10" i="5" a="1"/>
  <c r="R10" i="5" s="1"/>
  <c r="S10" i="5" a="1"/>
  <c r="S10" i="5" s="1"/>
  <c r="T10" i="5" a="1"/>
  <c r="T10" i="5" s="1"/>
  <c r="U10" i="5" a="1"/>
  <c r="U10" i="5" s="1"/>
  <c r="V10" i="5" a="1"/>
  <c r="V10" i="5" s="1"/>
  <c r="W10" i="5" a="1"/>
  <c r="W10" i="5" s="1"/>
  <c r="X10" i="5" a="1"/>
  <c r="X10" i="5" s="1"/>
  <c r="Y10" i="5" a="1"/>
  <c r="Y10" i="5" s="1"/>
  <c r="Z10" i="5" a="1"/>
  <c r="Z10" i="5" s="1"/>
  <c r="AA10" i="5" a="1"/>
  <c r="AA10" i="5" s="1"/>
  <c r="AB10" i="5" a="1"/>
  <c r="AB10" i="5" s="1"/>
  <c r="AC10" i="5" a="1"/>
  <c r="AC10" i="5" s="1"/>
  <c r="AD10" i="5" a="1"/>
  <c r="AD10" i="5" s="1"/>
  <c r="E11" i="5" a="1"/>
  <c r="E11" i="5" s="1"/>
  <c r="F11" i="5" a="1"/>
  <c r="F11" i="5" s="1"/>
  <c r="G11" i="5" a="1"/>
  <c r="G11" i="5" s="1"/>
  <c r="H11" i="5" a="1"/>
  <c r="H11" i="5" s="1"/>
  <c r="I11" i="5" a="1"/>
  <c r="I11" i="5" s="1"/>
  <c r="J11" i="5" a="1"/>
  <c r="J11" i="5" s="1"/>
  <c r="K11" i="5" a="1"/>
  <c r="K11" i="5" s="1"/>
  <c r="L11" i="5" a="1"/>
  <c r="L11" i="5" s="1"/>
  <c r="M11" i="5" a="1"/>
  <c r="M11" i="5" s="1"/>
  <c r="N11" i="5" a="1"/>
  <c r="N11" i="5" s="1"/>
  <c r="O11" i="5" a="1"/>
  <c r="O11" i="5" s="1"/>
  <c r="P11" i="5" a="1"/>
  <c r="P11" i="5" s="1"/>
  <c r="Q11" i="5" a="1"/>
  <c r="Q11" i="5" s="1"/>
  <c r="R11" i="5" a="1"/>
  <c r="R11" i="5" s="1"/>
  <c r="S11" i="5" a="1"/>
  <c r="S11" i="5" s="1"/>
  <c r="T11" i="5" a="1"/>
  <c r="T11" i="5" s="1"/>
  <c r="U11" i="5" a="1"/>
  <c r="U11" i="5" s="1"/>
  <c r="V11" i="5" a="1"/>
  <c r="V11" i="5" s="1"/>
  <c r="W11" i="5" a="1"/>
  <c r="W11" i="5" s="1"/>
  <c r="X11" i="5" a="1"/>
  <c r="X11" i="5" s="1"/>
  <c r="Y11" i="5" a="1"/>
  <c r="Y11" i="5" s="1"/>
  <c r="Z11" i="5" a="1"/>
  <c r="Z11" i="5" s="1"/>
  <c r="AA11" i="5" a="1"/>
  <c r="AA11" i="5" s="1"/>
  <c r="AB11" i="5" a="1"/>
  <c r="AB11" i="5" s="1"/>
  <c r="AC11" i="5" a="1"/>
  <c r="AC11" i="5" s="1"/>
  <c r="AD11" i="5" a="1"/>
  <c r="AD11" i="5" s="1"/>
  <c r="E12" i="5" a="1"/>
  <c r="E12" i="5" s="1"/>
  <c r="F12" i="5" a="1"/>
  <c r="F12" i="5" s="1"/>
  <c r="G12" i="5" a="1"/>
  <c r="G12" i="5" s="1"/>
  <c r="H12" i="5" a="1"/>
  <c r="H12" i="5" s="1"/>
  <c r="I12" i="5" a="1"/>
  <c r="I12" i="5" s="1"/>
  <c r="J12" i="5" a="1"/>
  <c r="J12" i="5" s="1"/>
  <c r="K12" i="5" a="1"/>
  <c r="K12" i="5" s="1"/>
  <c r="L12" i="5" a="1"/>
  <c r="L12" i="5" s="1"/>
  <c r="M12" i="5" a="1"/>
  <c r="M12" i="5" s="1"/>
  <c r="N12" i="5" a="1"/>
  <c r="N12" i="5" s="1"/>
  <c r="O12" i="5" a="1"/>
  <c r="O12" i="5" s="1"/>
  <c r="P12" i="5" a="1"/>
  <c r="P12" i="5" s="1"/>
  <c r="Q12" i="5" a="1"/>
  <c r="Q12" i="5" s="1"/>
  <c r="R12" i="5" a="1"/>
  <c r="R12" i="5" s="1"/>
  <c r="S12" i="5" a="1"/>
  <c r="S12" i="5" s="1"/>
  <c r="T12" i="5" a="1"/>
  <c r="T12" i="5" s="1"/>
  <c r="U12" i="5" a="1"/>
  <c r="U12" i="5" s="1"/>
  <c r="V12" i="5" a="1"/>
  <c r="V12" i="5" s="1"/>
  <c r="W12" i="5" a="1"/>
  <c r="W12" i="5" s="1"/>
  <c r="X12" i="5" a="1"/>
  <c r="X12" i="5" s="1"/>
  <c r="Y12" i="5" a="1"/>
  <c r="Y12" i="5" s="1"/>
  <c r="Z12" i="5" a="1"/>
  <c r="Z12" i="5" s="1"/>
  <c r="AA12" i="5" a="1"/>
  <c r="AA12" i="5" s="1"/>
  <c r="AB12" i="5" a="1"/>
  <c r="AB12" i="5" s="1"/>
  <c r="AC12" i="5" a="1"/>
  <c r="AC12" i="5" s="1"/>
  <c r="AD12" i="5" a="1"/>
  <c r="AD12" i="5" s="1"/>
  <c r="C11" i="6"/>
  <c r="E13" i="5" a="1"/>
  <c r="E13" i="5" s="1"/>
  <c r="F13" i="5" a="1"/>
  <c r="F13" i="5" s="1"/>
  <c r="G13" i="5" a="1"/>
  <c r="G13" i="5" s="1"/>
  <c r="H13" i="5" a="1"/>
  <c r="H13" i="5" s="1"/>
  <c r="I13" i="5" a="1"/>
  <c r="I13" i="5" s="1"/>
  <c r="J13" i="5" a="1"/>
  <c r="J13" i="5" s="1"/>
  <c r="K13" i="5" a="1"/>
  <c r="K13" i="5" s="1"/>
  <c r="L13" i="5" a="1"/>
  <c r="L13" i="5" s="1"/>
  <c r="M13" i="5" a="1"/>
  <c r="M13" i="5" s="1"/>
  <c r="N13" i="5" a="1"/>
  <c r="N13" i="5" s="1"/>
  <c r="O13" i="5" a="1"/>
  <c r="O13" i="5" s="1"/>
  <c r="P13" i="5" a="1"/>
  <c r="P13" i="5" s="1"/>
  <c r="Q13" i="5" a="1"/>
  <c r="Q13" i="5" s="1"/>
  <c r="R13" i="5" a="1"/>
  <c r="R13" i="5" s="1"/>
  <c r="S13" i="5" a="1"/>
  <c r="S13" i="5" s="1"/>
  <c r="T13" i="5" a="1"/>
  <c r="T13" i="5" s="1"/>
  <c r="U13" i="5" a="1"/>
  <c r="U13" i="5" s="1"/>
  <c r="V13" i="5" a="1"/>
  <c r="V13" i="5" s="1"/>
  <c r="W13" i="5" a="1"/>
  <c r="W13" i="5" s="1"/>
  <c r="X13" i="5" a="1"/>
  <c r="X13" i="5" s="1"/>
  <c r="Y13" i="5" a="1"/>
  <c r="Y13" i="5" s="1"/>
  <c r="Z13" i="5" a="1"/>
  <c r="Z13" i="5" s="1"/>
  <c r="AA13" i="5" a="1"/>
  <c r="AA13" i="5" s="1"/>
  <c r="AB13" i="5" a="1"/>
  <c r="AB13" i="5" s="1"/>
  <c r="AC13" i="5" a="1"/>
  <c r="AC13" i="5" s="1"/>
  <c r="AD13" i="5" a="1"/>
  <c r="AD13" i="5" s="1"/>
  <c r="C5" i="6"/>
  <c r="E14" i="5" a="1"/>
  <c r="E14" i="5" s="1"/>
  <c r="F14" i="5" a="1"/>
  <c r="F14" i="5" s="1"/>
  <c r="G14" i="5" a="1"/>
  <c r="G14" i="5" s="1"/>
  <c r="H14" i="5" a="1"/>
  <c r="H14" i="5" s="1"/>
  <c r="I14" i="5" a="1"/>
  <c r="I14" i="5" s="1"/>
  <c r="J14" i="5" a="1"/>
  <c r="J14" i="5" s="1"/>
  <c r="K14" i="5" a="1"/>
  <c r="K14" i="5" s="1"/>
  <c r="L14" i="5" a="1"/>
  <c r="L14" i="5" s="1"/>
  <c r="M14" i="5" a="1"/>
  <c r="M14" i="5" s="1"/>
  <c r="N14" i="5" a="1"/>
  <c r="N14" i="5" s="1"/>
  <c r="O14" i="5" a="1"/>
  <c r="O14" i="5" s="1"/>
  <c r="P14" i="5" a="1"/>
  <c r="P14" i="5" s="1"/>
  <c r="Q14" i="5" a="1"/>
  <c r="Q14" i="5" s="1"/>
  <c r="R14" i="5" a="1"/>
  <c r="R14" i="5" s="1"/>
  <c r="S14" i="5" a="1"/>
  <c r="S14" i="5" s="1"/>
  <c r="T14" i="5" a="1"/>
  <c r="T14" i="5" s="1"/>
  <c r="U14" i="5" a="1"/>
  <c r="U14" i="5" s="1"/>
  <c r="V14" i="5" a="1"/>
  <c r="V14" i="5" s="1"/>
  <c r="W14" i="5" a="1"/>
  <c r="W14" i="5" s="1"/>
  <c r="X14" i="5" a="1"/>
  <c r="X14" i="5" s="1"/>
  <c r="Y14" i="5" a="1"/>
  <c r="Y14" i="5" s="1"/>
  <c r="Z14" i="5" a="1"/>
  <c r="Z14" i="5" s="1"/>
  <c r="AA14" i="5" a="1"/>
  <c r="AA14" i="5" s="1"/>
  <c r="AB14" i="5" a="1"/>
  <c r="AB14" i="5" s="1"/>
  <c r="AC14" i="5" a="1"/>
  <c r="AC14" i="5" s="1"/>
  <c r="AD14" i="5" a="1"/>
  <c r="AD14" i="5" s="1"/>
  <c r="C6" i="6"/>
  <c r="E15" i="5" a="1"/>
  <c r="E15" i="5" s="1"/>
  <c r="F15" i="5" a="1"/>
  <c r="F15" i="5" s="1"/>
  <c r="G15" i="5" a="1"/>
  <c r="G15" i="5" s="1"/>
  <c r="H15" i="5" a="1"/>
  <c r="H15" i="5" s="1"/>
  <c r="I15" i="5" a="1"/>
  <c r="I15" i="5" s="1"/>
  <c r="J15" i="5" a="1"/>
  <c r="J15" i="5" s="1"/>
  <c r="K15" i="5" a="1"/>
  <c r="K15" i="5" s="1"/>
  <c r="L15" i="5" a="1"/>
  <c r="L15" i="5" s="1"/>
  <c r="M15" i="5" a="1"/>
  <c r="M15" i="5" s="1"/>
  <c r="N15" i="5" a="1"/>
  <c r="N15" i="5" s="1"/>
  <c r="O15" i="5" a="1"/>
  <c r="O15" i="5" s="1"/>
  <c r="P15" i="5" a="1"/>
  <c r="P15" i="5" s="1"/>
  <c r="Q15" i="5" a="1"/>
  <c r="Q15" i="5" s="1"/>
  <c r="R15" i="5" a="1"/>
  <c r="R15" i="5" s="1"/>
  <c r="S15" i="5" a="1"/>
  <c r="S15" i="5" s="1"/>
  <c r="T15" i="5" a="1"/>
  <c r="T15" i="5" s="1"/>
  <c r="U15" i="5" a="1"/>
  <c r="U15" i="5" s="1"/>
  <c r="V15" i="5" a="1"/>
  <c r="V15" i="5" s="1"/>
  <c r="W15" i="5" a="1"/>
  <c r="W15" i="5" s="1"/>
  <c r="X15" i="5" a="1"/>
  <c r="X15" i="5" s="1"/>
  <c r="Y15" i="5" a="1"/>
  <c r="Y15" i="5" s="1"/>
  <c r="Z15" i="5" a="1"/>
  <c r="Z15" i="5" s="1"/>
  <c r="AA15" i="5" a="1"/>
  <c r="AA15" i="5" s="1"/>
  <c r="AB15" i="5" a="1"/>
  <c r="AB15" i="5" s="1"/>
  <c r="AC15" i="5" a="1"/>
  <c r="AC15" i="5" s="1"/>
  <c r="AD15" i="5" a="1"/>
  <c r="AD15" i="5" s="1"/>
  <c r="E16" i="5" a="1"/>
  <c r="E16" i="5" s="1"/>
  <c r="F16" i="5" a="1"/>
  <c r="F16" i="5" s="1"/>
  <c r="G16" i="5" a="1"/>
  <c r="G16" i="5" s="1"/>
  <c r="H16" i="5" a="1"/>
  <c r="H16" i="5" s="1"/>
  <c r="I16" i="5" a="1"/>
  <c r="I16" i="5" s="1"/>
  <c r="J16" i="5" a="1"/>
  <c r="J16" i="5" s="1"/>
  <c r="K16" i="5" a="1"/>
  <c r="K16" i="5" s="1"/>
  <c r="L16" i="5" a="1"/>
  <c r="L16" i="5" s="1"/>
  <c r="M16" i="5" a="1"/>
  <c r="M16" i="5" s="1"/>
  <c r="N16" i="5" a="1"/>
  <c r="N16" i="5" s="1"/>
  <c r="O16" i="5" a="1"/>
  <c r="O16" i="5" s="1"/>
  <c r="P16" i="5" a="1"/>
  <c r="P16" i="5" s="1"/>
  <c r="Q16" i="5" a="1"/>
  <c r="Q16" i="5" s="1"/>
  <c r="R16" i="5" a="1"/>
  <c r="R16" i="5" s="1"/>
  <c r="S16" i="5" a="1"/>
  <c r="S16" i="5" s="1"/>
  <c r="T16" i="5" a="1"/>
  <c r="T16" i="5" s="1"/>
  <c r="U16" i="5" a="1"/>
  <c r="U16" i="5" s="1"/>
  <c r="V16" i="5" a="1"/>
  <c r="V16" i="5" s="1"/>
  <c r="W16" i="5" a="1"/>
  <c r="W16" i="5" s="1"/>
  <c r="X16" i="5" a="1"/>
  <c r="X16" i="5" s="1"/>
  <c r="Y16" i="5" a="1"/>
  <c r="Y16" i="5" s="1"/>
  <c r="Z16" i="5" a="1"/>
  <c r="Z16" i="5" s="1"/>
  <c r="AA16" i="5" a="1"/>
  <c r="AA16" i="5" s="1"/>
  <c r="AB16" i="5" a="1"/>
  <c r="AB16" i="5" s="1"/>
  <c r="AC16" i="5" a="1"/>
  <c r="AC16" i="5" s="1"/>
  <c r="AD16" i="5" a="1"/>
  <c r="AD16" i="5" s="1"/>
  <c r="E17" i="5" a="1"/>
  <c r="E17" i="5" s="1"/>
  <c r="F17" i="5" a="1"/>
  <c r="F17" i="5" s="1"/>
  <c r="G17" i="5" a="1"/>
  <c r="G17" i="5" s="1"/>
  <c r="H17" i="5" a="1"/>
  <c r="H17" i="5" s="1"/>
  <c r="I17" i="5" a="1"/>
  <c r="I17" i="5" s="1"/>
  <c r="J17" i="5" a="1"/>
  <c r="J17" i="5" s="1"/>
  <c r="K17" i="5" a="1"/>
  <c r="K17" i="5" s="1"/>
  <c r="L17" i="5" a="1"/>
  <c r="L17" i="5" s="1"/>
  <c r="M17" i="5" a="1"/>
  <c r="M17" i="5" s="1"/>
  <c r="N17" i="5" a="1"/>
  <c r="N17" i="5" s="1"/>
  <c r="O17" i="5" a="1"/>
  <c r="O17" i="5" s="1"/>
  <c r="P17" i="5" a="1"/>
  <c r="P17" i="5" s="1"/>
  <c r="Q17" i="5" a="1"/>
  <c r="Q17" i="5" s="1"/>
  <c r="R17" i="5" a="1"/>
  <c r="R17" i="5" s="1"/>
  <c r="S17" i="5" a="1"/>
  <c r="S17" i="5" s="1"/>
  <c r="T17" i="5" a="1"/>
  <c r="T17" i="5" s="1"/>
  <c r="U17" i="5" a="1"/>
  <c r="U17" i="5" s="1"/>
  <c r="V17" i="5" a="1"/>
  <c r="V17" i="5" s="1"/>
  <c r="W17" i="5" a="1"/>
  <c r="W17" i="5" s="1"/>
  <c r="X17" i="5" a="1"/>
  <c r="X17" i="5" s="1"/>
  <c r="Y17" i="5" a="1"/>
  <c r="Y17" i="5" s="1"/>
  <c r="Z17" i="5" a="1"/>
  <c r="Z17" i="5" s="1"/>
  <c r="AA17" i="5" a="1"/>
  <c r="AA17" i="5" s="1"/>
  <c r="AB17" i="5" a="1"/>
  <c r="AB17" i="5" s="1"/>
  <c r="AC17" i="5" a="1"/>
  <c r="AC17" i="5" s="1"/>
  <c r="AD17" i="5" a="1"/>
  <c r="AD17" i="5" s="1"/>
  <c r="E18" i="5" a="1"/>
  <c r="E18" i="5" s="1"/>
  <c r="F18" i="5" a="1"/>
  <c r="F18" i="5" s="1"/>
  <c r="G18" i="5" a="1"/>
  <c r="G18" i="5" s="1"/>
  <c r="H18" i="5" a="1"/>
  <c r="H18" i="5" s="1"/>
  <c r="I18" i="5" a="1"/>
  <c r="I18" i="5" s="1"/>
  <c r="J18" i="5" a="1"/>
  <c r="J18" i="5" s="1"/>
  <c r="K18" i="5" a="1"/>
  <c r="K18" i="5" s="1"/>
  <c r="L18" i="5" a="1"/>
  <c r="L18" i="5" s="1"/>
  <c r="M18" i="5" a="1"/>
  <c r="M18" i="5" s="1"/>
  <c r="N18" i="5" a="1"/>
  <c r="N18" i="5" s="1"/>
  <c r="O18" i="5" a="1"/>
  <c r="O18" i="5" s="1"/>
  <c r="P18" i="5" a="1"/>
  <c r="P18" i="5" s="1"/>
  <c r="Q18" i="5" a="1"/>
  <c r="Q18" i="5" s="1"/>
  <c r="R18" i="5" a="1"/>
  <c r="R18" i="5" s="1"/>
  <c r="S18" i="5" a="1"/>
  <c r="S18" i="5" s="1"/>
  <c r="T18" i="5" a="1"/>
  <c r="T18" i="5" s="1"/>
  <c r="U18" i="5" a="1"/>
  <c r="U18" i="5" s="1"/>
  <c r="V18" i="5" a="1"/>
  <c r="V18" i="5" s="1"/>
  <c r="W18" i="5" a="1"/>
  <c r="W18" i="5" s="1"/>
  <c r="X18" i="5" a="1"/>
  <c r="X18" i="5" s="1"/>
  <c r="Y18" i="5" a="1"/>
  <c r="Y18" i="5" s="1"/>
  <c r="Z18" i="5" a="1"/>
  <c r="Z18" i="5" s="1"/>
  <c r="AA18" i="5" a="1"/>
  <c r="AA18" i="5" s="1"/>
  <c r="AB18" i="5" a="1"/>
  <c r="AB18" i="5" s="1"/>
  <c r="AC18" i="5" a="1"/>
  <c r="AC18" i="5" s="1"/>
  <c r="AD18" i="5" a="1"/>
  <c r="AD18" i="5" s="1"/>
  <c r="E19" i="5" a="1"/>
  <c r="E19" i="5" s="1"/>
  <c r="F19" i="5" a="1"/>
  <c r="F19" i="5" s="1"/>
  <c r="G19" i="5" a="1"/>
  <c r="G19" i="5" s="1"/>
  <c r="H19" i="5" a="1"/>
  <c r="H19" i="5" s="1"/>
  <c r="I19" i="5" a="1"/>
  <c r="I19" i="5" s="1"/>
  <c r="J19" i="5" a="1"/>
  <c r="J19" i="5" s="1"/>
  <c r="K19" i="5" a="1"/>
  <c r="K19" i="5" s="1"/>
  <c r="L19" i="5" a="1"/>
  <c r="L19" i="5" s="1"/>
  <c r="M19" i="5" a="1"/>
  <c r="M19" i="5" s="1"/>
  <c r="N19" i="5" a="1"/>
  <c r="N19" i="5" s="1"/>
  <c r="O19" i="5" a="1"/>
  <c r="O19" i="5" s="1"/>
  <c r="P19" i="5" a="1"/>
  <c r="P19" i="5" s="1"/>
  <c r="Q19" i="5" a="1"/>
  <c r="Q19" i="5" s="1"/>
  <c r="R19" i="5" a="1"/>
  <c r="R19" i="5" s="1"/>
  <c r="S19" i="5" a="1"/>
  <c r="S19" i="5" s="1"/>
  <c r="T19" i="5" a="1"/>
  <c r="T19" i="5" s="1"/>
  <c r="U19" i="5" a="1"/>
  <c r="U19" i="5" s="1"/>
  <c r="V19" i="5" a="1"/>
  <c r="V19" i="5" s="1"/>
  <c r="W19" i="5" a="1"/>
  <c r="W19" i="5" s="1"/>
  <c r="X19" i="5" a="1"/>
  <c r="X19" i="5" s="1"/>
  <c r="Y19" i="5" a="1"/>
  <c r="Y19" i="5" s="1"/>
  <c r="Z19" i="5" a="1"/>
  <c r="Z19" i="5" s="1"/>
  <c r="AA19" i="5" a="1"/>
  <c r="AA19" i="5" s="1"/>
  <c r="AB19" i="5" a="1"/>
  <c r="AB19" i="5" s="1"/>
  <c r="AC19" i="5" a="1"/>
  <c r="AC19" i="5" s="1"/>
  <c r="AD19" i="5" a="1"/>
  <c r="AD19" i="5" s="1"/>
  <c r="E20" i="5" a="1"/>
  <c r="E20" i="5" s="1"/>
  <c r="F20" i="5" a="1"/>
  <c r="F20" i="5" s="1"/>
  <c r="G20" i="5" a="1"/>
  <c r="G20" i="5" s="1"/>
  <c r="H20" i="5" a="1"/>
  <c r="H20" i="5" s="1"/>
  <c r="I20" i="5" a="1"/>
  <c r="I20" i="5" s="1"/>
  <c r="J20" i="5" a="1"/>
  <c r="J20" i="5" s="1"/>
  <c r="K20" i="5" a="1"/>
  <c r="K20" i="5" s="1"/>
  <c r="L20" i="5" a="1"/>
  <c r="L20" i="5" s="1"/>
  <c r="M20" i="5" a="1"/>
  <c r="M20" i="5" s="1"/>
  <c r="N20" i="5" a="1"/>
  <c r="N20" i="5" s="1"/>
  <c r="O20" i="5" a="1"/>
  <c r="O20" i="5" s="1"/>
  <c r="P20" i="5" a="1"/>
  <c r="P20" i="5" s="1"/>
  <c r="Q20" i="5" a="1"/>
  <c r="Q20" i="5" s="1"/>
  <c r="R20" i="5" a="1"/>
  <c r="R20" i="5" s="1"/>
  <c r="S20" i="5" a="1"/>
  <c r="S20" i="5" s="1"/>
  <c r="T20" i="5" a="1"/>
  <c r="T20" i="5" s="1"/>
  <c r="U20" i="5" a="1"/>
  <c r="U20" i="5" s="1"/>
  <c r="V20" i="5" a="1"/>
  <c r="V20" i="5" s="1"/>
  <c r="W20" i="5" a="1"/>
  <c r="W20" i="5" s="1"/>
  <c r="X20" i="5" a="1"/>
  <c r="X20" i="5" s="1"/>
  <c r="Y20" i="5" a="1"/>
  <c r="Y20" i="5" s="1"/>
  <c r="Z20" i="5" a="1"/>
  <c r="Z20" i="5" s="1"/>
  <c r="AA20" i="5" a="1"/>
  <c r="AA20" i="5" s="1"/>
  <c r="AB20" i="5" a="1"/>
  <c r="AB20" i="5" s="1"/>
  <c r="AC20" i="5" a="1"/>
  <c r="AC20" i="5" s="1"/>
  <c r="AD20" i="5" a="1"/>
  <c r="AD20" i="5" s="1"/>
  <c r="E22" i="5" a="1"/>
  <c r="E22" i="5" s="1"/>
  <c r="F22" i="5" a="1"/>
  <c r="F22" i="5" s="1"/>
  <c r="G22" i="5" a="1"/>
  <c r="G22" i="5" s="1"/>
  <c r="H22" i="5" a="1"/>
  <c r="H22" i="5" s="1"/>
  <c r="I22" i="5" a="1"/>
  <c r="I22" i="5" s="1"/>
  <c r="J22" i="5" a="1"/>
  <c r="J22" i="5" s="1"/>
  <c r="K22" i="5" a="1"/>
  <c r="K22" i="5" s="1"/>
  <c r="L22" i="5" a="1"/>
  <c r="L22" i="5" s="1"/>
  <c r="M22" i="5" a="1"/>
  <c r="M22" i="5" s="1"/>
  <c r="N22" i="5" a="1"/>
  <c r="N22" i="5" s="1"/>
  <c r="O22" i="5" a="1"/>
  <c r="O22" i="5" s="1"/>
  <c r="P22" i="5" a="1"/>
  <c r="P22" i="5" s="1"/>
  <c r="Q22" i="5" a="1"/>
  <c r="Q22" i="5" s="1"/>
  <c r="R22" i="5" a="1"/>
  <c r="R22" i="5" s="1"/>
  <c r="S22" i="5" a="1"/>
  <c r="S22" i="5" s="1"/>
  <c r="T22" i="5" a="1"/>
  <c r="T22" i="5" s="1"/>
  <c r="U22" i="5" a="1"/>
  <c r="U22" i="5" s="1"/>
  <c r="V22" i="5" a="1"/>
  <c r="V22" i="5" s="1"/>
  <c r="W22" i="5" a="1"/>
  <c r="W22" i="5" s="1"/>
  <c r="X22" i="5" a="1"/>
  <c r="X22" i="5" s="1"/>
  <c r="Y22" i="5" a="1"/>
  <c r="Y22" i="5" s="1"/>
  <c r="Z22" i="5" a="1"/>
  <c r="Z22" i="5" s="1"/>
  <c r="AA22" i="5" a="1"/>
  <c r="AA22" i="5" s="1"/>
  <c r="AB22" i="5" a="1"/>
  <c r="AB22" i="5" s="1"/>
  <c r="AC22" i="5" a="1"/>
  <c r="AC22" i="5" s="1"/>
  <c r="AD22" i="5" a="1"/>
  <c r="AD22" i="5" s="1"/>
  <c r="E23" i="5" a="1"/>
  <c r="E23" i="5" s="1"/>
  <c r="F23" i="5" a="1"/>
  <c r="F23" i="5" s="1"/>
  <c r="G23" i="5" a="1"/>
  <c r="G23" i="5" s="1"/>
  <c r="H23" i="5" a="1"/>
  <c r="H23" i="5" s="1"/>
  <c r="I23" i="5" a="1"/>
  <c r="I23" i="5" s="1"/>
  <c r="J23" i="5" a="1"/>
  <c r="J23" i="5" s="1"/>
  <c r="K23" i="5" a="1"/>
  <c r="K23" i="5" s="1"/>
  <c r="L23" i="5" a="1"/>
  <c r="L23" i="5" s="1"/>
  <c r="M23" i="5" a="1"/>
  <c r="M23" i="5" s="1"/>
  <c r="N23" i="5" a="1"/>
  <c r="N23" i="5" s="1"/>
  <c r="O23" i="5" a="1"/>
  <c r="O23" i="5" s="1"/>
  <c r="P23" i="5" a="1"/>
  <c r="P23" i="5" s="1"/>
  <c r="Q23" i="5" a="1"/>
  <c r="Q23" i="5" s="1"/>
  <c r="R23" i="5" a="1"/>
  <c r="R23" i="5" s="1"/>
  <c r="S23" i="5" a="1"/>
  <c r="S23" i="5" s="1"/>
  <c r="T23" i="5" a="1"/>
  <c r="T23" i="5" s="1"/>
  <c r="U23" i="5" a="1"/>
  <c r="U23" i="5" s="1"/>
  <c r="V23" i="5" a="1"/>
  <c r="V23" i="5" s="1"/>
  <c r="W23" i="5" a="1"/>
  <c r="W23" i="5" s="1"/>
  <c r="X23" i="5" a="1"/>
  <c r="X23" i="5" s="1"/>
  <c r="Y23" i="5" a="1"/>
  <c r="Y23" i="5" s="1"/>
  <c r="Z23" i="5" a="1"/>
  <c r="Z23" i="5" s="1"/>
  <c r="AA23" i="5" a="1"/>
  <c r="AA23" i="5" s="1"/>
  <c r="AB23" i="5" a="1"/>
  <c r="AB23" i="5" s="1"/>
  <c r="AC23" i="5" a="1"/>
  <c r="AC23" i="5" s="1"/>
  <c r="AD23" i="5" a="1"/>
  <c r="AD23" i="5" s="1"/>
  <c r="C12" i="6"/>
  <c r="E24" i="5" a="1"/>
  <c r="E24" i="5" s="1"/>
  <c r="F24" i="5" a="1"/>
  <c r="F24" i="5" s="1"/>
  <c r="G24" i="5" a="1"/>
  <c r="G24" i="5" s="1"/>
  <c r="H24" i="5" a="1"/>
  <c r="H24" i="5" s="1"/>
  <c r="I24" i="5" a="1"/>
  <c r="I24" i="5" s="1"/>
  <c r="J24" i="5" a="1"/>
  <c r="J24" i="5" s="1"/>
  <c r="K24" i="5" a="1"/>
  <c r="K24" i="5" s="1"/>
  <c r="L24" i="5" a="1"/>
  <c r="L24" i="5" s="1"/>
  <c r="M24" i="5" a="1"/>
  <c r="M24" i="5" s="1"/>
  <c r="N24" i="5" a="1"/>
  <c r="N24" i="5" s="1"/>
  <c r="O24" i="5" a="1"/>
  <c r="O24" i="5" s="1"/>
  <c r="P24" i="5" a="1"/>
  <c r="P24" i="5" s="1"/>
  <c r="Q24" i="5" a="1"/>
  <c r="Q24" i="5" s="1"/>
  <c r="R24" i="5" a="1"/>
  <c r="R24" i="5" s="1"/>
  <c r="S24" i="5" a="1"/>
  <c r="S24" i="5" s="1"/>
  <c r="T24" i="5" a="1"/>
  <c r="T24" i="5" s="1"/>
  <c r="U24" i="5" a="1"/>
  <c r="U24" i="5" s="1"/>
  <c r="V24" i="5" a="1"/>
  <c r="V24" i="5" s="1"/>
  <c r="W24" i="5" a="1"/>
  <c r="W24" i="5" s="1"/>
  <c r="X24" i="5" a="1"/>
  <c r="X24" i="5" s="1"/>
  <c r="Y24" i="5" a="1"/>
  <c r="Y24" i="5" s="1"/>
  <c r="Z24" i="5" a="1"/>
  <c r="Z24" i="5" s="1"/>
  <c r="AA24" i="5" a="1"/>
  <c r="AA24" i="5" s="1"/>
  <c r="AB24" i="5" a="1"/>
  <c r="AB24" i="5" s="1"/>
  <c r="AC24" i="5" a="1"/>
  <c r="AC24" i="5" s="1"/>
  <c r="AD24" i="5" a="1"/>
  <c r="AD24" i="5" s="1"/>
  <c r="C8" i="6"/>
  <c r="E25" i="5" a="1"/>
  <c r="E25" i="5" s="1"/>
  <c r="F25" i="5" a="1"/>
  <c r="F25" i="5" s="1"/>
  <c r="G25" i="5" a="1"/>
  <c r="G25" i="5" s="1"/>
  <c r="H25" i="5" a="1"/>
  <c r="H25" i="5" s="1"/>
  <c r="I25" i="5" a="1"/>
  <c r="I25" i="5" s="1"/>
  <c r="J25" i="5" a="1"/>
  <c r="J25" i="5" s="1"/>
  <c r="K25" i="5" a="1"/>
  <c r="K25" i="5" s="1"/>
  <c r="L25" i="5" a="1"/>
  <c r="L25" i="5" s="1"/>
  <c r="M25" i="5" a="1"/>
  <c r="M25" i="5" s="1"/>
  <c r="N25" i="5" a="1"/>
  <c r="N25" i="5" s="1"/>
  <c r="O25" i="5" a="1"/>
  <c r="O25" i="5" s="1"/>
  <c r="P25" i="5" a="1"/>
  <c r="P25" i="5" s="1"/>
  <c r="Q25" i="5" a="1"/>
  <c r="Q25" i="5" s="1"/>
  <c r="R25" i="5" a="1"/>
  <c r="R25" i="5" s="1"/>
  <c r="S25" i="5" a="1"/>
  <c r="S25" i="5" s="1"/>
  <c r="T25" i="5" a="1"/>
  <c r="T25" i="5" s="1"/>
  <c r="U25" i="5" a="1"/>
  <c r="U25" i="5" s="1"/>
  <c r="V25" i="5" a="1"/>
  <c r="V25" i="5" s="1"/>
  <c r="W25" i="5" a="1"/>
  <c r="W25" i="5" s="1"/>
  <c r="X25" i="5" a="1"/>
  <c r="X25" i="5" s="1"/>
  <c r="Y25" i="5" a="1"/>
  <c r="Y25" i="5" s="1"/>
  <c r="Z25" i="5" a="1"/>
  <c r="Z25" i="5" s="1"/>
  <c r="AA25" i="5" a="1"/>
  <c r="AA25" i="5" s="1"/>
  <c r="AB25" i="5" a="1"/>
  <c r="AB25" i="5" s="1"/>
  <c r="AC25" i="5" a="1"/>
  <c r="AC25" i="5" s="1"/>
  <c r="AD25" i="5" a="1"/>
  <c r="AD25" i="5" s="1"/>
  <c r="E21" i="5" a="1"/>
  <c r="E21" i="5" s="1"/>
  <c r="F21" i="5" a="1"/>
  <c r="F21" i="5" s="1"/>
  <c r="G21" i="5" a="1"/>
  <c r="G21" i="5" s="1"/>
  <c r="H21" i="5" a="1"/>
  <c r="H21" i="5" s="1"/>
  <c r="I21" i="5" a="1"/>
  <c r="I21" i="5" s="1"/>
  <c r="J21" i="5" a="1"/>
  <c r="J21" i="5" s="1"/>
  <c r="K21" i="5" a="1"/>
  <c r="K21" i="5" s="1"/>
  <c r="L21" i="5" a="1"/>
  <c r="L21" i="5" s="1"/>
  <c r="M21" i="5" a="1"/>
  <c r="M21" i="5" s="1"/>
  <c r="N21" i="5" a="1"/>
  <c r="N21" i="5" s="1"/>
  <c r="O21" i="5" a="1"/>
  <c r="O21" i="5" s="1"/>
  <c r="P21" i="5" a="1"/>
  <c r="P21" i="5" s="1"/>
  <c r="Q21" i="5" a="1"/>
  <c r="Q21" i="5" s="1"/>
  <c r="R21" i="5" a="1"/>
  <c r="R21" i="5" s="1"/>
  <c r="S21" i="5" a="1"/>
  <c r="S21" i="5" s="1"/>
  <c r="T21" i="5" a="1"/>
  <c r="T21" i="5" s="1"/>
  <c r="U21" i="5" a="1"/>
  <c r="U21" i="5" s="1"/>
  <c r="V21" i="5" a="1"/>
  <c r="V21" i="5" s="1"/>
  <c r="W21" i="5" a="1"/>
  <c r="W21" i="5" s="1"/>
  <c r="X21" i="5" a="1"/>
  <c r="X21" i="5" s="1"/>
  <c r="Y21" i="5" a="1"/>
  <c r="Y21" i="5" s="1"/>
  <c r="Z21" i="5" a="1"/>
  <c r="Z21" i="5" s="1"/>
  <c r="AA21" i="5" a="1"/>
  <c r="AA21" i="5" s="1"/>
  <c r="AB21" i="5" a="1"/>
  <c r="AB21" i="5" s="1"/>
  <c r="AC21" i="5" a="1"/>
  <c r="AC21" i="5" s="1"/>
  <c r="AD21" i="5" a="1"/>
  <c r="AD21" i="5" s="1"/>
  <c r="C9" i="6"/>
  <c r="AE5" i="6" a="1"/>
  <c r="AE5" i="6" s="1"/>
  <c r="AF5" i="6" a="1"/>
  <c r="AF5" i="6" s="1"/>
  <c r="AE6" i="6" a="1"/>
  <c r="AE6" i="6" s="1"/>
  <c r="AF6" i="6" a="1"/>
  <c r="AF6" i="6" s="1"/>
  <c r="AE7" i="6" a="1"/>
  <c r="AE7" i="6" s="1"/>
  <c r="AF7" i="6" a="1"/>
  <c r="AF7" i="6" s="1"/>
  <c r="AE8" i="6" a="1"/>
  <c r="AE8" i="6" s="1"/>
  <c r="AF8" i="6" a="1"/>
  <c r="AF8" i="6" s="1"/>
  <c r="AE9" i="6" a="1"/>
  <c r="AE9" i="6" s="1"/>
  <c r="AF9" i="6" a="1"/>
  <c r="AF9" i="6" s="1"/>
  <c r="AE10" i="6" a="1"/>
  <c r="AE10" i="6" s="1"/>
  <c r="AF10" i="6" a="1"/>
  <c r="AF10" i="6" s="1"/>
  <c r="AE11" i="6" a="1"/>
  <c r="AE11" i="6" s="1"/>
  <c r="AF11" i="6" a="1"/>
  <c r="AF11" i="6" s="1"/>
  <c r="AE12" i="6" a="1"/>
  <c r="AE12" i="6" s="1"/>
  <c r="AF12" i="6" a="1"/>
  <c r="AF12" i="6" s="1"/>
  <c r="C7" i="6"/>
  <c r="H4" i="5"/>
  <c r="G4" i="6"/>
  <c r="E15" i="1"/>
  <c r="I27" i="2"/>
  <c r="B40" i="11" l="1" a="1"/>
  <c r="B40" i="11" s="1"/>
  <c r="C40" i="11" a="1"/>
  <c r="C40" i="11" s="1"/>
  <c r="D40" i="11" a="1"/>
  <c r="D40" i="11" s="1"/>
  <c r="B39" i="11" a="1"/>
  <c r="B39" i="11" s="1"/>
  <c r="C39" i="11" a="1"/>
  <c r="C39" i="11" s="1"/>
  <c r="D39" i="11" a="1"/>
  <c r="D39" i="11" s="1"/>
  <c r="B38" i="11" a="1"/>
  <c r="B38" i="11" s="1"/>
  <c r="C38" i="11" a="1"/>
  <c r="C38" i="11" s="1"/>
  <c r="D38" i="11" a="1"/>
  <c r="D38" i="11" s="1"/>
  <c r="B37" i="11" a="1"/>
  <c r="B37" i="11" s="1"/>
  <c r="C37" i="11" a="1"/>
  <c r="C37" i="11" s="1"/>
  <c r="D37" i="11" a="1"/>
  <c r="D37" i="11" s="1"/>
  <c r="B36" i="11" a="1"/>
  <c r="B36" i="11" s="1"/>
  <c r="C36" i="11" a="1"/>
  <c r="C36" i="11" s="1"/>
  <c r="D36" i="11" a="1"/>
  <c r="D36" i="11" s="1"/>
  <c r="B35" i="11" a="1"/>
  <c r="B35" i="11" s="1"/>
  <c r="C35" i="11" a="1"/>
  <c r="C35" i="11" s="1"/>
  <c r="D35" i="11" a="1"/>
  <c r="D35" i="11" s="1"/>
  <c r="B34" i="11" a="1"/>
  <c r="B34" i="11" s="1"/>
  <c r="C34" i="11" a="1"/>
  <c r="C34" i="11" s="1"/>
  <c r="D34" i="11" a="1"/>
  <c r="D34" i="11" s="1"/>
  <c r="E33" i="11"/>
  <c r="E40" i="11" s="1" a="1"/>
  <c r="E40" i="11" s="1"/>
  <c r="F13" i="11"/>
  <c r="B49" i="9"/>
  <c r="I36" i="9"/>
  <c r="I49" i="9" s="1"/>
  <c r="H36" i="9"/>
  <c r="H49" i="9" s="1"/>
  <c r="G36" i="9"/>
  <c r="G49" i="9" s="1"/>
  <c r="F36" i="9"/>
  <c r="F49" i="9" s="1"/>
  <c r="E36" i="9"/>
  <c r="E49" i="9" s="1"/>
  <c r="D36" i="9"/>
  <c r="D49" i="9" s="1"/>
  <c r="C36" i="9"/>
  <c r="C49" i="9" s="1"/>
  <c r="B31" i="9"/>
  <c r="D24" i="9"/>
  <c r="G14" i="1" a="1"/>
  <c r="G14" i="1" s="1"/>
  <c r="G13" i="1" a="1"/>
  <c r="G13" i="1" s="1"/>
  <c r="G12" i="1" a="1"/>
  <c r="G12" i="1" s="1"/>
  <c r="G11" i="1" a="1"/>
  <c r="G11" i="1" s="1"/>
  <c r="G10" i="1" a="1"/>
  <c r="G10" i="1" s="1"/>
  <c r="G9" i="1" a="1"/>
  <c r="G9" i="1" s="1"/>
  <c r="G5" i="6" a="1"/>
  <c r="G5" i="6" s="1"/>
  <c r="G6" i="6" a="1"/>
  <c r="G6" i="6" s="1"/>
  <c r="G7" i="6" a="1"/>
  <c r="G7" i="6" s="1"/>
  <c r="G8" i="6" a="1"/>
  <c r="G8" i="6" s="1"/>
  <c r="G9" i="6" a="1"/>
  <c r="G9" i="6" s="1"/>
  <c r="G10" i="6" a="1"/>
  <c r="G10" i="6" s="1"/>
  <c r="G11" i="6" a="1"/>
  <c r="G11" i="6" s="1"/>
  <c r="G12" i="6" a="1"/>
  <c r="G12" i="6" s="1"/>
  <c r="E12" i="6" a="1"/>
  <c r="E12" i="6" s="1"/>
  <c r="E11" i="6" a="1"/>
  <c r="E11" i="6" s="1"/>
  <c r="E10" i="6" a="1"/>
  <c r="E10" i="6" s="1"/>
  <c r="E9" i="6" a="1"/>
  <c r="E9" i="6" s="1"/>
  <c r="E8" i="6" a="1"/>
  <c r="E8" i="6" s="1"/>
  <c r="E7" i="6" a="1"/>
  <c r="E7" i="6" s="1"/>
  <c r="E6" i="6" a="1"/>
  <c r="E6" i="6" s="1"/>
  <c r="E5" i="6" a="1"/>
  <c r="E5" i="6" s="1"/>
  <c r="F5" i="6" a="1"/>
  <c r="F5" i="6" s="1"/>
  <c r="F6" i="6" a="1"/>
  <c r="F6" i="6" s="1"/>
  <c r="F7" i="6" a="1"/>
  <c r="F7" i="6" s="1"/>
  <c r="F8" i="6" a="1"/>
  <c r="F8" i="6" s="1"/>
  <c r="F9" i="6" a="1"/>
  <c r="F9" i="6" s="1"/>
  <c r="F10" i="6" a="1"/>
  <c r="F10" i="6" s="1"/>
  <c r="F11" i="6" a="1"/>
  <c r="F11" i="6" s="1"/>
  <c r="F12" i="6" a="1"/>
  <c r="F12" i="6" s="1"/>
  <c r="I4" i="5"/>
  <c r="H4" i="6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E38" i="11" l="1" a="1"/>
  <c r="E38" i="11" s="1"/>
  <c r="E39" i="11" a="1"/>
  <c r="E39" i="11" s="1"/>
  <c r="E36" i="11" a="1"/>
  <c r="E36" i="11" s="1"/>
  <c r="E37" i="11" a="1"/>
  <c r="E37" i="11" s="1"/>
  <c r="E34" i="11" a="1"/>
  <c r="E34" i="11" s="1"/>
  <c r="E35" i="11" a="1"/>
  <c r="E35" i="11" s="1"/>
  <c r="F33" i="11"/>
  <c r="F40" i="11" s="1" a="1"/>
  <c r="F40" i="11" s="1"/>
  <c r="D31" i="9"/>
  <c r="F24" i="9"/>
  <c r="I9" i="1"/>
  <c r="H9" i="1"/>
  <c r="I10" i="1"/>
  <c r="H10" i="1"/>
  <c r="I11" i="1"/>
  <c r="H11" i="1"/>
  <c r="I12" i="1"/>
  <c r="H12" i="1"/>
  <c r="I13" i="1"/>
  <c r="H13" i="1"/>
  <c r="I14" i="1"/>
  <c r="H14" i="1"/>
  <c r="H5" i="6" a="1"/>
  <c r="H5" i="6" s="1"/>
  <c r="H6" i="6" a="1"/>
  <c r="H6" i="6" s="1"/>
  <c r="H7" i="6" a="1"/>
  <c r="H7" i="6" s="1"/>
  <c r="H8" i="6" a="1"/>
  <c r="H8" i="6" s="1"/>
  <c r="H9" i="6" a="1"/>
  <c r="H9" i="6" s="1"/>
  <c r="H10" i="6" a="1"/>
  <c r="H10" i="6" s="1"/>
  <c r="H11" i="6" a="1"/>
  <c r="H11" i="6" s="1"/>
  <c r="H12" i="6" a="1"/>
  <c r="H12" i="6" s="1"/>
  <c r="J4" i="5"/>
  <c r="F38" i="11" l="1" a="1"/>
  <c r="F38" i="11" s="1"/>
  <c r="F39" i="11" a="1"/>
  <c r="F39" i="11" s="1"/>
  <c r="F36" i="11" a="1"/>
  <c r="F36" i="11" s="1"/>
  <c r="F37" i="11" a="1"/>
  <c r="F37" i="11" s="1"/>
  <c r="F34" i="11" a="1"/>
  <c r="F34" i="11" s="1"/>
  <c r="F35" i="11" a="1"/>
  <c r="F35" i="11" s="1"/>
  <c r="G33" i="11"/>
  <c r="G40" i="11" s="1" a="1"/>
  <c r="G40" i="11" s="1"/>
  <c r="F31" i="9"/>
  <c r="G24" i="9"/>
  <c r="H15" i="1"/>
  <c r="I5" i="6" a="1"/>
  <c r="I5" i="6" s="1"/>
  <c r="I6" i="6" a="1"/>
  <c r="I6" i="6" s="1"/>
  <c r="I7" i="6" a="1"/>
  <c r="I7" i="6" s="1"/>
  <c r="I8" i="6" a="1"/>
  <c r="I8" i="6" s="1"/>
  <c r="I9" i="6" a="1"/>
  <c r="I9" i="6" s="1"/>
  <c r="I10" i="6" a="1"/>
  <c r="I10" i="6" s="1"/>
  <c r="I11" i="6" a="1"/>
  <c r="I11" i="6" s="1"/>
  <c r="I12" i="6" a="1"/>
  <c r="I12" i="6" s="1"/>
  <c r="K4" i="5"/>
  <c r="G38" i="11" l="1" a="1"/>
  <c r="G38" i="11" s="1"/>
  <c r="G39" i="11" a="1"/>
  <c r="G39" i="11" s="1"/>
  <c r="G36" i="11" a="1"/>
  <c r="G36" i="11" s="1"/>
  <c r="G37" i="11" a="1"/>
  <c r="G37" i="11" s="1"/>
  <c r="G34" i="11" a="1"/>
  <c r="G34" i="11" s="1"/>
  <c r="G35" i="11" a="1"/>
  <c r="G35" i="11" s="1"/>
  <c r="H33" i="11"/>
  <c r="H40" i="11" s="1" a="1"/>
  <c r="H40" i="11" s="1"/>
  <c r="J5" i="6" a="1"/>
  <c r="J5" i="6" s="1"/>
  <c r="J6" i="6" a="1"/>
  <c r="J6" i="6" s="1"/>
  <c r="J7" i="6" a="1"/>
  <c r="J7" i="6" s="1"/>
  <c r="J8" i="6" a="1"/>
  <c r="J8" i="6" s="1"/>
  <c r="J9" i="6" a="1"/>
  <c r="J9" i="6" s="1"/>
  <c r="J10" i="6" a="1"/>
  <c r="J10" i="6" s="1"/>
  <c r="J11" i="6" a="1"/>
  <c r="J11" i="6" s="1"/>
  <c r="J12" i="6" a="1"/>
  <c r="J12" i="6" s="1"/>
  <c r="L4" i="5"/>
  <c r="H38" i="11" l="1" a="1"/>
  <c r="H38" i="11" s="1"/>
  <c r="H39" i="11" a="1"/>
  <c r="H39" i="11" s="1"/>
  <c r="H36" i="11" a="1"/>
  <c r="H36" i="11" s="1"/>
  <c r="H37" i="11" a="1"/>
  <c r="H37" i="11" s="1"/>
  <c r="H34" i="11" a="1"/>
  <c r="H34" i="11" s="1"/>
  <c r="H35" i="11" a="1"/>
  <c r="H35" i="11" s="1"/>
  <c r="I33" i="11"/>
  <c r="I40" i="11" s="1" a="1"/>
  <c r="I40" i="11" s="1"/>
  <c r="K5" i="6" a="1"/>
  <c r="K5" i="6" s="1"/>
  <c r="K6" i="6" a="1"/>
  <c r="K6" i="6" s="1"/>
  <c r="K7" i="6" a="1"/>
  <c r="K7" i="6" s="1"/>
  <c r="K8" i="6" a="1"/>
  <c r="K8" i="6" s="1"/>
  <c r="K9" i="6" a="1"/>
  <c r="K9" i="6" s="1"/>
  <c r="K10" i="6" a="1"/>
  <c r="K10" i="6" s="1"/>
  <c r="K11" i="6" a="1"/>
  <c r="K11" i="6" s="1"/>
  <c r="K12" i="6" a="1"/>
  <c r="K12" i="6" s="1"/>
  <c r="M4" i="5"/>
  <c r="I38" i="11" l="1" a="1"/>
  <c r="I38" i="11" s="1"/>
  <c r="I39" i="11" a="1"/>
  <c r="I39" i="11" s="1"/>
  <c r="I36" i="11" a="1"/>
  <c r="I36" i="11" s="1"/>
  <c r="I37" i="11" a="1"/>
  <c r="I37" i="11" s="1"/>
  <c r="I34" i="11" a="1"/>
  <c r="I34" i="11" s="1"/>
  <c r="I35" i="11" a="1"/>
  <c r="I35" i="11" s="1"/>
  <c r="J33" i="11"/>
  <c r="J40" i="11" s="1" a="1"/>
  <c r="J40" i="11" s="1"/>
  <c r="L5" i="6" a="1"/>
  <c r="L5" i="6" s="1"/>
  <c r="L6" i="6" a="1"/>
  <c r="L6" i="6" s="1"/>
  <c r="L7" i="6" a="1"/>
  <c r="L7" i="6" s="1"/>
  <c r="L8" i="6" a="1"/>
  <c r="L8" i="6" s="1"/>
  <c r="L9" i="6" a="1"/>
  <c r="L9" i="6" s="1"/>
  <c r="L10" i="6" a="1"/>
  <c r="L10" i="6" s="1"/>
  <c r="L11" i="6" a="1"/>
  <c r="L11" i="6" s="1"/>
  <c r="L12" i="6" a="1"/>
  <c r="L12" i="6" s="1"/>
  <c r="N4" i="5"/>
  <c r="J38" i="11" l="1" a="1"/>
  <c r="J38" i="11" s="1"/>
  <c r="J39" i="11" a="1"/>
  <c r="J39" i="11" s="1"/>
  <c r="J36" i="11" a="1"/>
  <c r="J36" i="11" s="1"/>
  <c r="J37" i="11" a="1"/>
  <c r="J37" i="11" s="1"/>
  <c r="J34" i="11" a="1"/>
  <c r="J34" i="11" s="1"/>
  <c r="J35" i="11" a="1"/>
  <c r="J35" i="11" s="1"/>
  <c r="K33" i="11"/>
  <c r="K40" i="11" s="1" a="1"/>
  <c r="K40" i="11" s="1"/>
  <c r="M5" i="6" a="1"/>
  <c r="M5" i="6" s="1"/>
  <c r="M6" i="6" a="1"/>
  <c r="M6" i="6" s="1"/>
  <c r="M7" i="6" a="1"/>
  <c r="M7" i="6" s="1"/>
  <c r="M8" i="6" a="1"/>
  <c r="M8" i="6" s="1"/>
  <c r="M9" i="6" a="1"/>
  <c r="M9" i="6" s="1"/>
  <c r="M10" i="6" a="1"/>
  <c r="M10" i="6" s="1"/>
  <c r="M11" i="6" a="1"/>
  <c r="M11" i="6" s="1"/>
  <c r="M12" i="6" a="1"/>
  <c r="M12" i="6" s="1"/>
  <c r="O4" i="5"/>
  <c r="K38" i="11" l="1" a="1"/>
  <c r="K38" i="11" s="1"/>
  <c r="K39" i="11" a="1"/>
  <c r="K39" i="11" s="1"/>
  <c r="K36" i="11" a="1"/>
  <c r="K36" i="11" s="1"/>
  <c r="K37" i="11" a="1"/>
  <c r="K37" i="11" s="1"/>
  <c r="K34" i="11" a="1"/>
  <c r="K34" i="11" s="1"/>
  <c r="K35" i="11" a="1"/>
  <c r="K35" i="11" s="1"/>
  <c r="L33" i="11"/>
  <c r="L40" i="11" s="1" a="1"/>
  <c r="L40" i="11" s="1"/>
  <c r="N5" i="6" a="1"/>
  <c r="N5" i="6" s="1"/>
  <c r="N6" i="6" a="1"/>
  <c r="N6" i="6" s="1"/>
  <c r="N7" i="6" a="1"/>
  <c r="N7" i="6" s="1"/>
  <c r="N8" i="6" a="1"/>
  <c r="N8" i="6" s="1"/>
  <c r="N9" i="6" a="1"/>
  <c r="N9" i="6" s="1"/>
  <c r="N10" i="6" a="1"/>
  <c r="N10" i="6" s="1"/>
  <c r="N11" i="6" a="1"/>
  <c r="N11" i="6" s="1"/>
  <c r="N12" i="6" a="1"/>
  <c r="N12" i="6" s="1"/>
  <c r="P4" i="5"/>
  <c r="L38" i="11" l="1" a="1"/>
  <c r="L38" i="11" s="1"/>
  <c r="L39" i="11" a="1"/>
  <c r="L39" i="11" s="1"/>
  <c r="L36" i="11" a="1"/>
  <c r="L36" i="11" s="1"/>
  <c r="L37" i="11" a="1"/>
  <c r="L37" i="11" s="1"/>
  <c r="L34" i="11" a="1"/>
  <c r="L34" i="11" s="1"/>
  <c r="L35" i="11" a="1"/>
  <c r="L35" i="11" s="1"/>
  <c r="M33" i="11"/>
  <c r="M40" i="11" s="1" a="1"/>
  <c r="M40" i="11" s="1"/>
  <c r="O5" i="6" a="1"/>
  <c r="O5" i="6" s="1"/>
  <c r="O6" i="6" a="1"/>
  <c r="O6" i="6" s="1"/>
  <c r="O7" i="6" a="1"/>
  <c r="O7" i="6" s="1"/>
  <c r="O8" i="6" a="1"/>
  <c r="O8" i="6" s="1"/>
  <c r="O9" i="6" a="1"/>
  <c r="O9" i="6" s="1"/>
  <c r="O10" i="6" a="1"/>
  <c r="O10" i="6" s="1"/>
  <c r="O11" i="6" a="1"/>
  <c r="O11" i="6" s="1"/>
  <c r="O12" i="6" a="1"/>
  <c r="O12" i="6" s="1"/>
  <c r="Q4" i="5"/>
  <c r="M38" i="11" l="1" a="1"/>
  <c r="M38" i="11" s="1"/>
  <c r="M39" i="11" a="1"/>
  <c r="M39" i="11" s="1"/>
  <c r="M36" i="11" a="1"/>
  <c r="M36" i="11" s="1"/>
  <c r="M37" i="11" a="1"/>
  <c r="M37" i="11" s="1"/>
  <c r="M34" i="11" a="1"/>
  <c r="M34" i="11" s="1"/>
  <c r="M35" i="11" a="1"/>
  <c r="M35" i="11" s="1"/>
  <c r="N33" i="11"/>
  <c r="N40" i="11" s="1" a="1"/>
  <c r="N40" i="11" s="1"/>
  <c r="P5" i="6" a="1"/>
  <c r="P5" i="6" s="1"/>
  <c r="P6" i="6" a="1"/>
  <c r="P6" i="6" s="1"/>
  <c r="P7" i="6" a="1"/>
  <c r="P7" i="6" s="1"/>
  <c r="P8" i="6" a="1"/>
  <c r="P8" i="6" s="1"/>
  <c r="P9" i="6" a="1"/>
  <c r="P9" i="6" s="1"/>
  <c r="P10" i="6" a="1"/>
  <c r="P10" i="6" s="1"/>
  <c r="P11" i="6" a="1"/>
  <c r="P11" i="6" s="1"/>
  <c r="P12" i="6" a="1"/>
  <c r="P12" i="6" s="1"/>
  <c r="R4" i="5"/>
  <c r="N38" i="11" l="1" a="1"/>
  <c r="N38" i="11" s="1"/>
  <c r="N39" i="11" a="1"/>
  <c r="N39" i="11" s="1"/>
  <c r="N36" i="11" a="1"/>
  <c r="N36" i="11" s="1"/>
  <c r="N37" i="11" a="1"/>
  <c r="N37" i="11" s="1"/>
  <c r="N34" i="11" a="1"/>
  <c r="N34" i="11" s="1"/>
  <c r="N35" i="11" a="1"/>
  <c r="N35" i="11" s="1"/>
  <c r="O33" i="11"/>
  <c r="O40" i="11" s="1" a="1"/>
  <c r="O40" i="11" s="1"/>
  <c r="Q5" i="6" a="1"/>
  <c r="Q5" i="6" s="1"/>
  <c r="Q6" i="6" a="1"/>
  <c r="Q6" i="6" s="1"/>
  <c r="Q7" i="6" a="1"/>
  <c r="Q7" i="6" s="1"/>
  <c r="Q8" i="6" a="1"/>
  <c r="Q8" i="6" s="1"/>
  <c r="Q9" i="6" a="1"/>
  <c r="Q9" i="6" s="1"/>
  <c r="Q10" i="6" a="1"/>
  <c r="Q10" i="6" s="1"/>
  <c r="Q11" i="6" a="1"/>
  <c r="Q11" i="6" s="1"/>
  <c r="Q12" i="6" a="1"/>
  <c r="Q12" i="6" s="1"/>
  <c r="S4" i="5"/>
  <c r="G15" i="1"/>
  <c r="I15" i="1" s="1"/>
  <c r="H4" i="1" s="1"/>
  <c r="O38" i="11" l="1" a="1"/>
  <c r="O38" i="11" s="1"/>
  <c r="O39" i="11" a="1"/>
  <c r="O39" i="11" s="1"/>
  <c r="O36" i="11" a="1"/>
  <c r="O36" i="11" s="1"/>
  <c r="O37" i="11" a="1"/>
  <c r="O37" i="11" s="1"/>
  <c r="O34" i="11" a="1"/>
  <c r="O34" i="11" s="1"/>
  <c r="O35" i="11" a="1"/>
  <c r="O35" i="11" s="1"/>
  <c r="P33" i="11"/>
  <c r="P40" i="11" s="1" a="1"/>
  <c r="P40" i="11" s="1"/>
  <c r="R5" i="6" a="1"/>
  <c r="R5" i="6" s="1"/>
  <c r="R6" i="6" a="1"/>
  <c r="R6" i="6" s="1"/>
  <c r="R7" i="6" a="1"/>
  <c r="R7" i="6" s="1"/>
  <c r="R8" i="6" a="1"/>
  <c r="R8" i="6" s="1"/>
  <c r="R9" i="6" a="1"/>
  <c r="R9" i="6" s="1"/>
  <c r="R10" i="6" a="1"/>
  <c r="R10" i="6" s="1"/>
  <c r="R11" i="6" a="1"/>
  <c r="R11" i="6" s="1"/>
  <c r="R12" i="6" a="1"/>
  <c r="R12" i="6" s="1"/>
  <c r="T4" i="5"/>
  <c r="P38" i="11" l="1" a="1"/>
  <c r="P38" i="11" s="1"/>
  <c r="P39" i="11" a="1"/>
  <c r="P39" i="11" s="1"/>
  <c r="P36" i="11" a="1"/>
  <c r="P36" i="11" s="1"/>
  <c r="P37" i="11" a="1"/>
  <c r="P37" i="11" s="1"/>
  <c r="P34" i="11" a="1"/>
  <c r="P34" i="11" s="1"/>
  <c r="P35" i="11" a="1"/>
  <c r="P35" i="11" s="1"/>
  <c r="Q33" i="11"/>
  <c r="Q40" i="11" s="1" a="1"/>
  <c r="Q40" i="11" s="1"/>
  <c r="S5" i="6" a="1"/>
  <c r="S5" i="6" s="1"/>
  <c r="S6" i="6" a="1"/>
  <c r="S6" i="6" s="1"/>
  <c r="S7" i="6" a="1"/>
  <c r="S7" i="6" s="1"/>
  <c r="S8" i="6" a="1"/>
  <c r="S8" i="6" s="1"/>
  <c r="S9" i="6" a="1"/>
  <c r="S9" i="6" s="1"/>
  <c r="S10" i="6" a="1"/>
  <c r="S10" i="6" s="1"/>
  <c r="S11" i="6" a="1"/>
  <c r="S11" i="6" s="1"/>
  <c r="S12" i="6" a="1"/>
  <c r="S12" i="6" s="1"/>
  <c r="U4" i="5"/>
  <c r="Q38" i="11" l="1" a="1"/>
  <c r="Q38" i="11" s="1"/>
  <c r="Q39" i="11" a="1"/>
  <c r="Q39" i="11" s="1"/>
  <c r="Q36" i="11" a="1"/>
  <c r="Q36" i="11" s="1"/>
  <c r="Q37" i="11" a="1"/>
  <c r="Q37" i="11" s="1"/>
  <c r="Q34" i="11" a="1"/>
  <c r="Q34" i="11" s="1"/>
  <c r="Q35" i="11" a="1"/>
  <c r="Q35" i="11" s="1"/>
  <c r="T5" i="6" a="1"/>
  <c r="T5" i="6" s="1"/>
  <c r="T6" i="6" a="1"/>
  <c r="T6" i="6" s="1"/>
  <c r="T7" i="6" a="1"/>
  <c r="T7" i="6" s="1"/>
  <c r="T8" i="6" a="1"/>
  <c r="T8" i="6" s="1"/>
  <c r="T9" i="6" a="1"/>
  <c r="T9" i="6" s="1"/>
  <c r="T10" i="6" a="1"/>
  <c r="T10" i="6" s="1"/>
  <c r="T11" i="6" a="1"/>
  <c r="T11" i="6" s="1"/>
  <c r="T12" i="6" a="1"/>
  <c r="T12" i="6" s="1"/>
  <c r="V4" i="5"/>
  <c r="U5" i="6" l="1" a="1"/>
  <c r="U5" i="6" s="1"/>
  <c r="U6" i="6" a="1"/>
  <c r="U6" i="6" s="1"/>
  <c r="U7" i="6" a="1"/>
  <c r="U7" i="6" s="1"/>
  <c r="U8" i="6" a="1"/>
  <c r="U8" i="6" s="1"/>
  <c r="U9" i="6" a="1"/>
  <c r="U9" i="6" s="1"/>
  <c r="U10" i="6" a="1"/>
  <c r="U10" i="6" s="1"/>
  <c r="U11" i="6" a="1"/>
  <c r="U11" i="6" s="1"/>
  <c r="U12" i="6" a="1"/>
  <c r="U12" i="6" s="1"/>
  <c r="W4" i="5"/>
  <c r="V5" i="6" l="1" a="1"/>
  <c r="V5" i="6" s="1"/>
  <c r="V6" i="6" a="1"/>
  <c r="V6" i="6" s="1"/>
  <c r="V7" i="6" a="1"/>
  <c r="V7" i="6" s="1"/>
  <c r="V8" i="6" a="1"/>
  <c r="V8" i="6" s="1"/>
  <c r="V9" i="6" a="1"/>
  <c r="V9" i="6" s="1"/>
  <c r="V10" i="6" a="1"/>
  <c r="V10" i="6" s="1"/>
  <c r="V11" i="6" a="1"/>
  <c r="V11" i="6" s="1"/>
  <c r="V12" i="6" a="1"/>
  <c r="V12" i="6" s="1"/>
  <c r="X4" i="5"/>
  <c r="W5" i="6" l="1" a="1"/>
  <c r="W5" i="6" s="1"/>
  <c r="W6" i="6" a="1"/>
  <c r="W6" i="6" s="1"/>
  <c r="W7" i="6" a="1"/>
  <c r="W7" i="6" s="1"/>
  <c r="W8" i="6" a="1"/>
  <c r="W8" i="6" s="1"/>
  <c r="W9" i="6" a="1"/>
  <c r="W9" i="6" s="1"/>
  <c r="W10" i="6" a="1"/>
  <c r="W10" i="6" s="1"/>
  <c r="W11" i="6" a="1"/>
  <c r="W11" i="6" s="1"/>
  <c r="W12" i="6" a="1"/>
  <c r="W12" i="6" s="1"/>
  <c r="Y4" i="5"/>
  <c r="X5" i="6" l="1" a="1"/>
  <c r="X5" i="6" s="1"/>
  <c r="X6" i="6" a="1"/>
  <c r="X6" i="6" s="1"/>
  <c r="X7" i="6" a="1"/>
  <c r="X7" i="6" s="1"/>
  <c r="X8" i="6" a="1"/>
  <c r="X8" i="6" s="1"/>
  <c r="X9" i="6" a="1"/>
  <c r="X9" i="6" s="1"/>
  <c r="X10" i="6" a="1"/>
  <c r="X10" i="6" s="1"/>
  <c r="X11" i="6" a="1"/>
  <c r="X11" i="6" s="1"/>
  <c r="X12" i="6" a="1"/>
  <c r="X12" i="6" s="1"/>
  <c r="Z4" i="5"/>
  <c r="Y5" i="6" l="1" a="1"/>
  <c r="Y5" i="6" s="1"/>
  <c r="Y6" i="6" a="1"/>
  <c r="Y6" i="6" s="1"/>
  <c r="Y7" i="6" a="1"/>
  <c r="Y7" i="6" s="1"/>
  <c r="Y8" i="6" a="1"/>
  <c r="Y8" i="6" s="1"/>
  <c r="Y9" i="6" a="1"/>
  <c r="Y9" i="6" s="1"/>
  <c r="Y10" i="6" a="1"/>
  <c r="Y10" i="6" s="1"/>
  <c r="Y11" i="6" a="1"/>
  <c r="Y11" i="6" s="1"/>
  <c r="Y12" i="6" a="1"/>
  <c r="Y12" i="6" s="1"/>
  <c r="AA4" i="5"/>
  <c r="Z5" i="6" l="1" a="1"/>
  <c r="Z5" i="6" s="1"/>
  <c r="Z6" i="6" a="1"/>
  <c r="Z6" i="6" s="1"/>
  <c r="Z7" i="6" a="1"/>
  <c r="Z7" i="6" s="1"/>
  <c r="Z8" i="6" a="1"/>
  <c r="Z8" i="6" s="1"/>
  <c r="Z9" i="6" a="1"/>
  <c r="Z9" i="6" s="1"/>
  <c r="Z10" i="6" a="1"/>
  <c r="Z10" i="6" s="1"/>
  <c r="Z11" i="6" a="1"/>
  <c r="Z11" i="6" s="1"/>
  <c r="Z12" i="6" a="1"/>
  <c r="Z12" i="6" s="1"/>
  <c r="AB4" i="5"/>
  <c r="AA5" i="6" l="1" a="1"/>
  <c r="AA5" i="6" s="1"/>
  <c r="AA6" i="6" a="1"/>
  <c r="AA6" i="6" s="1"/>
  <c r="AA7" i="6" a="1"/>
  <c r="AA7" i="6" s="1"/>
  <c r="AA8" i="6" a="1"/>
  <c r="AA8" i="6" s="1"/>
  <c r="AA9" i="6" a="1"/>
  <c r="AA9" i="6" s="1"/>
  <c r="AA10" i="6" a="1"/>
  <c r="AA10" i="6" s="1"/>
  <c r="AA11" i="6" a="1"/>
  <c r="AA11" i="6" s="1"/>
  <c r="AA12" i="6" a="1"/>
  <c r="AA12" i="6" s="1"/>
  <c r="AC4" i="5"/>
  <c r="AB5" i="6" l="1" a="1"/>
  <c r="AB5" i="6" s="1"/>
  <c r="AB6" i="6" a="1"/>
  <c r="AB6" i="6" s="1"/>
  <c r="AB7" i="6" a="1"/>
  <c r="AB7" i="6" s="1"/>
  <c r="AB8" i="6" a="1"/>
  <c r="AB8" i="6" s="1"/>
  <c r="AB9" i="6" a="1"/>
  <c r="AB9" i="6" s="1"/>
  <c r="AB10" i="6" a="1"/>
  <c r="AB10" i="6" s="1"/>
  <c r="AB11" i="6" a="1"/>
  <c r="AB11" i="6" s="1"/>
  <c r="AB12" i="6" a="1"/>
  <c r="AB12" i="6" s="1"/>
  <c r="AD4" i="5"/>
  <c r="AC5" i="6" l="1" a="1"/>
  <c r="AC5" i="6" s="1"/>
  <c r="AC6" i="6" a="1"/>
  <c r="AC6" i="6" s="1"/>
  <c r="AC7" i="6" a="1"/>
  <c r="AC7" i="6" s="1"/>
  <c r="AC8" i="6" a="1"/>
  <c r="AC8" i="6" s="1"/>
  <c r="AC9" i="6" a="1"/>
  <c r="AC9" i="6" s="1"/>
  <c r="AC10" i="6" a="1"/>
  <c r="AC10" i="6" s="1"/>
  <c r="AC11" i="6" a="1"/>
  <c r="AC11" i="6" s="1"/>
  <c r="AC12" i="6" a="1"/>
  <c r="AC12" i="6" s="1"/>
  <c r="AD5" i="6" l="1" a="1"/>
  <c r="AD5" i="6" s="1"/>
  <c r="AD6" i="6" a="1"/>
  <c r="AD6" i="6" s="1"/>
  <c r="AD7" i="6" a="1"/>
  <c r="AD7" i="6" s="1"/>
  <c r="AD8" i="6" a="1"/>
  <c r="AD8" i="6" s="1"/>
  <c r="AD9" i="6" a="1"/>
  <c r="AD9" i="6" s="1"/>
  <c r="AD10" i="6" a="1"/>
  <c r="AD10" i="6" s="1"/>
  <c r="AD11" i="6" a="1"/>
  <c r="AD11" i="6" s="1"/>
  <c r="AD12" i="6" a="1"/>
  <c r="AD1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tc={D6CE7683-F95D-4278-956D-32EB67859FD7}</author>
    <author>tc={AB6777D6-7B5F-43CF-A22C-24968020B63A}</author>
  </authors>
  <commentList>
    <comment ref="L15" authorId="0" shapeId="0" xr:uid="{D6CE7683-F95D-4278-956D-32EB67859FD7}">
      <text>
        <t>[Threaded comment]
Your version of Excel allows you to read this threaded comment; however, any edits to it will get removed if the file is opened in a newer version of Excel. Learn more: https://go.microsoft.com/fwlink/?linkid=870924
Comment:
    EARLIEST START: Finds the first week (on or after the Planning Start Date in B2) where ALL required roles marked "Yes" have available hours ≥ the Hrs/Wk Needed (column K).
Checks up to 6 roles: BA, Functional, Technical, Developer, Infrastructure, DBA.
Available hours per role come from the availability section above, which calculates: each person's weekly capacity minus their committed hours from active projects in the Project Portfolio.
If no week within the 26-week window has enough capacity for all required roles, the cell will be blank.</t>
      </text>
    </comment>
    <comment ref="M15" authorId="1" shapeId="0" xr:uid="{AB6777D6-7B5F-43CF-A22C-24968020B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PROJECTED END: Calculated as:
  Earliest Start + (Est. Hours ÷ Hrs/Wk Needed) × 7 days
This assumes a steady weekly effort at the rate specified in column I. For example, a 240-hour project at 20 hrs/wk = 12 weeks → end date is 12 weeks after the start date.
Note: This is a straight-line estimate. It does not account for capacity fluctuations across weeks — if a resource becomes unavailable mid-project, the actual end date may shift.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<sst xmlns="http://schemas.openxmlformats.org/spreadsheetml/2006/main" count="1454" uniqueCount="676">
  <si>
    <t>ETE IT PMO — Resource &amp; Project Management Dashboard</t>
  </si>
  <si>
    <t>TEAM SIZE</t>
  </si>
  <si>
    <t>WEEKLY CAPACITY</t>
  </si>
  <si>
    <t>TEAM UTILIZATION</t>
  </si>
  <si>
    <t>starting / available time</t>
  </si>
  <si>
    <t>use 10/10/80</t>
  </si>
  <si>
    <t>allocation of available time: allocate 10% allocation for admin, 15% for break/fix, 75% for projects - 40 hour week</t>
  </si>
  <si>
    <t>Total resources</t>
  </si>
  <si>
    <t>Net project hrs/wk</t>
  </si>
  <si>
    <t>Across active weeks</t>
  </si>
  <si>
    <t>this gives us our model of resource availability; meetings should be focused on the project and project plan</t>
  </si>
  <si>
    <t xml:space="preserve">  RESOURCE CAPACITY OVERVIEW</t>
  </si>
  <si>
    <t>Team</t>
  </si>
  <si>
    <t>Headcount</t>
  </si>
  <si>
    <t>Weekly Hrs</t>
  </si>
  <si>
    <t>Support Reserve</t>
  </si>
  <si>
    <t>Net Capacity</t>
  </si>
  <si>
    <t>Avg Allocated</t>
  </si>
  <si>
    <t>Available</t>
  </si>
  <si>
    <t>Utilization</t>
  </si>
  <si>
    <t>for ba's / sdlc: 75% of effort on a project (of the 10%) is in discovery and planning</t>
  </si>
  <si>
    <t>Synnergie (ERP)</t>
  </si>
  <si>
    <t>rest of their time is the other / remainder</t>
  </si>
  <si>
    <t>Systems Applications</t>
  </si>
  <si>
    <t>technical side (discovery/ planning) - 5-%, design is 50-75%, build is 75%-80%</t>
  </si>
  <si>
    <t>Business Analysts</t>
  </si>
  <si>
    <t>Infrastructure</t>
  </si>
  <si>
    <t>no more than 3 projects per person at a time</t>
  </si>
  <si>
    <t>WMS</t>
  </si>
  <si>
    <t>PMO</t>
  </si>
  <si>
    <t>once developers are done, then ba's go from 10-15% to 25%-30%</t>
  </si>
  <si>
    <t>TOTAL</t>
  </si>
  <si>
    <t>need multiple dimensions in the model for how we visualize the projects - some might be businer in some phases</t>
  </si>
  <si>
    <t xml:space="preserve">  PROJECT STATUS SUMMARY</t>
  </si>
  <si>
    <t>Category</t>
  </si>
  <si>
    <t>Total</t>
  </si>
  <si>
    <t>Complete</t>
  </si>
  <si>
    <t>In Progress</t>
  </si>
  <si>
    <t>Not Started</t>
  </si>
  <si>
    <t>Needs Help</t>
  </si>
  <si>
    <t>Needs Spec</t>
  </si>
  <si>
    <t>Postponed</t>
  </si>
  <si>
    <t>% Complete</t>
  </si>
  <si>
    <t>32 hours, divide by 2, 16 hours free for something else - gives availability of who's red and and not; assign people to rosters</t>
  </si>
  <si>
    <t>Project Portfolio</t>
  </si>
  <si>
    <t>can be assigned to more than 2-3 projeects start/ end at different times</t>
  </si>
  <si>
    <t>identify how much work is required per resource type per week; maybe as an ex: 300 per ba: have more demand than supply</t>
  </si>
  <si>
    <t>must have staggerred start dates based on resource capacity adn avail</t>
  </si>
  <si>
    <t>heatmap to change when we add an additional person b/c more resources</t>
  </si>
  <si>
    <t>dates, groups, resource capacity, etc.. amount of work does not change</t>
  </si>
  <si>
    <t>do we have all the right people or not</t>
  </si>
  <si>
    <t>but as we move dates it should change heatmap b/c of availability</t>
  </si>
  <si>
    <t>ETE IT PMO — Team Roster &amp; Capacity</t>
  </si>
  <si>
    <t>Resource</t>
  </si>
  <si>
    <t>Role</t>
  </si>
  <si>
    <t>Vendor</t>
  </si>
  <si>
    <t>Resource Classification</t>
  </si>
  <si>
    <t>Rate/Hour</t>
  </si>
  <si>
    <t>Weekly Hrs Available</t>
  </si>
  <si>
    <t>Support Reserve %</t>
  </si>
  <si>
    <t>Project Capacity %</t>
  </si>
  <si>
    <t>Support Reserve (hrs/wk)</t>
  </si>
  <si>
    <t>Project Capacity (hrs/wk)</t>
  </si>
  <si>
    <t>Ajay Kumar</t>
  </si>
  <si>
    <t>Functional</t>
  </si>
  <si>
    <t>ERP</t>
  </si>
  <si>
    <t>Synnergie</t>
  </si>
  <si>
    <t>MSA</t>
  </si>
  <si>
    <t>Ravindra Reddy</t>
  </si>
  <si>
    <t>Technical</t>
  </si>
  <si>
    <t>Vishnu Premen</t>
  </si>
  <si>
    <t>Deepak Gudwani</t>
  </si>
  <si>
    <t>Sangamesh Koti</t>
  </si>
  <si>
    <t>T&amp;M</t>
  </si>
  <si>
    <t>Bhavya Reddy</t>
  </si>
  <si>
    <t>Sarath Yeturu</t>
  </si>
  <si>
    <t>Vinod Bollepally</t>
  </si>
  <si>
    <t>DBA</t>
  </si>
  <si>
    <t>Jim Young</t>
  </si>
  <si>
    <t>Business Analyst</t>
  </si>
  <si>
    <t>ETE</t>
  </si>
  <si>
    <t>Alex Young</t>
  </si>
  <si>
    <t>Developer</t>
  </si>
  <si>
    <t>Nick Smith</t>
  </si>
  <si>
    <t>Colin Olson</t>
  </si>
  <si>
    <t>Jonathon Gonzalez</t>
  </si>
  <si>
    <t>Audrey Debaere</t>
  </si>
  <si>
    <t>Cristian Varelas</t>
  </si>
  <si>
    <t>Ryan Picado</t>
  </si>
  <si>
    <t>Emily Fridley</t>
  </si>
  <si>
    <t>Project Manager</t>
  </si>
  <si>
    <t>Brett Anderson</t>
  </si>
  <si>
    <t>Bettina Kotico</t>
  </si>
  <si>
    <t>Kayana</t>
  </si>
  <si>
    <t>Donna Wiedemeier</t>
  </si>
  <si>
    <t>WMS Consultant</t>
  </si>
  <si>
    <t>Watermark</t>
  </si>
  <si>
    <t>Justin Senour</t>
  </si>
  <si>
    <t>Michael House</t>
  </si>
  <si>
    <t>Andrew Shaefer</t>
  </si>
  <si>
    <t>TOTALS</t>
  </si>
  <si>
    <t>ETE IT PMO — Project Portfolio</t>
  </si>
  <si>
    <t>ID</t>
  </si>
  <si>
    <t>Project Name</t>
  </si>
  <si>
    <t>Type</t>
  </si>
  <si>
    <t>Business Portfolio</t>
  </si>
  <si>
    <t>Sponsor/Leader</t>
  </si>
  <si>
    <t>Project Health</t>
  </si>
  <si>
    <t>Priority</t>
  </si>
  <si>
    <t>Start Date</t>
  </si>
  <si>
    <t>Est. End Date</t>
  </si>
  <si>
    <t>Actual/Updated End</t>
  </si>
  <si>
    <t>PM</t>
  </si>
  <si>
    <t>BA</t>
  </si>
  <si>
    <t>T-Shirt Size</t>
  </si>
  <si>
    <t>Est. Hours</t>
  </si>
  <si>
    <t>Est. Cost Range</t>
  </si>
  <si>
    <t>BA %</t>
  </si>
  <si>
    <t>Functional %</t>
  </si>
  <si>
    <t>Technical %</t>
  </si>
  <si>
    <t>Developer %</t>
  </si>
  <si>
    <t>Infrastructure %</t>
  </si>
  <si>
    <t>DBA %</t>
  </si>
  <si>
    <t>PM %</t>
  </si>
  <si>
    <t>WMS %</t>
  </si>
  <si>
    <t>Notes</t>
  </si>
  <si>
    <t>Sort Order</t>
  </si>
  <si>
    <t>ETE-83</t>
  </si>
  <si>
    <t>Customer Master Data Cleanup</t>
  </si>
  <si>
    <t>Key Initiative</t>
  </si>
  <si>
    <t>Sales &amp; Distribution</t>
  </si>
  <si>
    <t>Tom Vierling</t>
  </si>
  <si>
    <t>📋 NEEDS TECHNICAL SPEC</t>
  </si>
  <si>
    <t>High</t>
  </si>
  <si>
    <t>XXL: &gt; 640 Hours</t>
  </si>
  <si>
    <t>Completed Q1</t>
  </si>
  <si>
    <t>ETE-48</t>
  </si>
  <si>
    <t>System Connection Syteline-VKS</t>
  </si>
  <si>
    <t>Engineering</t>
  </si>
  <si>
    <t>Ray Trumble</t>
  </si>
  <si>
    <t>🟢 ON TRACK</t>
  </si>
  <si>
    <t>L: 160-320 Hours</t>
  </si>
  <si>
    <t>ETE-68</t>
  </si>
  <si>
    <t>Catalog API Rust2Python</t>
  </si>
  <si>
    <t>Information Technology</t>
  </si>
  <si>
    <t>Jim Koscielniak</t>
  </si>
  <si>
    <t>ETE-43</t>
  </si>
  <si>
    <t>Data Security - Microsoft Purview</t>
  </si>
  <si>
    <t>ETE-19</t>
  </si>
  <si>
    <t>Changes to AR Aging Report</t>
  </si>
  <si>
    <t>Enhancement</t>
  </si>
  <si>
    <t>Finance</t>
  </si>
  <si>
    <t>Tom Newell</t>
  </si>
  <si>
    <t>M: 80-160 Hours</t>
  </si>
  <si>
    <t>ETE-49</t>
  </si>
  <si>
    <t>Marketing: STE Rewards Tier</t>
  </si>
  <si>
    <t>Medium</t>
  </si>
  <si>
    <t>ETE-7</t>
  </si>
  <si>
    <t>Outsourced Unit Core Accounting</t>
  </si>
  <si>
    <t>📋 NEEDS FUNCTIONAL SPEC</t>
  </si>
  <si>
    <t>8-9 month project</t>
  </si>
  <si>
    <t>ETE-52</t>
  </si>
  <si>
    <t>SWIMS/Syteline Reporting</t>
  </si>
  <si>
    <t>Supply Chain</t>
  </si>
  <si>
    <t>Jon Besherse</t>
  </si>
  <si>
    <t>S: &lt; 80 Hours</t>
  </si>
  <si>
    <t>ETE-16</t>
  </si>
  <si>
    <t>Partial Pay w/ CC from WMERP</t>
  </si>
  <si>
    <t>⚪ NOT STARTED</t>
  </si>
  <si>
    <t>ETE-37</t>
  </si>
  <si>
    <t>Magic Search in BuyETE</t>
  </si>
  <si>
    <t>Highest</t>
  </si>
  <si>
    <t>ETE-97</t>
  </si>
  <si>
    <t>Standard Order Process Notifications</t>
  </si>
  <si>
    <t>ETE-100</t>
  </si>
  <si>
    <t>ATSG Expired Members Self-Payment</t>
  </si>
  <si>
    <t>ETE-124</t>
  </si>
  <si>
    <t>Clean Up Return Loads</t>
  </si>
  <si>
    <t>ETE-58</t>
  </si>
  <si>
    <t>Transfer Order Moved Items to Transit Location</t>
  </si>
  <si>
    <t>⏸️ POSTPONED</t>
  </si>
  <si>
    <t>ETE-51</t>
  </si>
  <si>
    <t>RMA Credit Memo on Ghost Check-In</t>
  </si>
  <si>
    <t>ETE-59</t>
  </si>
  <si>
    <t xml:space="preserve">Reconcile BridgePay CC Transactions </t>
  </si>
  <si>
    <t>ETE-60</t>
  </si>
  <si>
    <t>EDI Payments Not Posting on Background</t>
  </si>
  <si>
    <t>ETE-61</t>
  </si>
  <si>
    <t>Accum Deposits Received Field</t>
  </si>
  <si>
    <t>Bug</t>
  </si>
  <si>
    <t>ETE-86</t>
  </si>
  <si>
    <t xml:space="preserve">Allow TCM Core Receiving to Post </t>
  </si>
  <si>
    <t>ETE-34</t>
  </si>
  <si>
    <t>Salesforce BDR Application &amp; Process Implementation</t>
  </si>
  <si>
    <t>ETE-35</t>
  </si>
  <si>
    <t>BuyETE Ability for Customers to Save Quotes</t>
  </si>
  <si>
    <t>ETE-33</t>
  </si>
  <si>
    <t>EDI 3PL Locations</t>
  </si>
  <si>
    <t>ETE-67</t>
  </si>
  <si>
    <t>Avalara Tax Issues</t>
  </si>
  <si>
    <t>✅ COMPLETE</t>
  </si>
  <si>
    <t>ETE-14</t>
  </si>
  <si>
    <t>Installed Return RMA Type</t>
  </si>
  <si>
    <t>ETE-70</t>
  </si>
  <si>
    <t>Nutanix (Replace VMware)</t>
  </si>
  <si>
    <t>ETE-65</t>
  </si>
  <si>
    <t>Rebuild Vendor Portal</t>
  </si>
  <si>
    <t>ETE-69</t>
  </si>
  <si>
    <t>Core Plan Optimization</t>
  </si>
  <si>
    <t>ETE-31</t>
  </si>
  <si>
    <t>Restocking Fees Added to RMA Credit Memo</t>
  </si>
  <si>
    <t>ETE-45</t>
  </si>
  <si>
    <t>VB Bin Printer Integration</t>
  </si>
  <si>
    <t>ETE-42</t>
  </si>
  <si>
    <t>Gear Screen - Improved Production Oversight</t>
  </si>
  <si>
    <t>Production</t>
  </si>
  <si>
    <t>Ari Rosengarten</t>
  </si>
  <si>
    <t>NAPA not ready</t>
  </si>
  <si>
    <t>ETE-72</t>
  </si>
  <si>
    <t>Fortigate ZTNA - EMS Setup</t>
  </si>
  <si>
    <t>ETE-71</t>
  </si>
  <si>
    <t>One Drive Migration</t>
  </si>
  <si>
    <t>ETE-87</t>
  </si>
  <si>
    <t>Production Dashboard</t>
  </si>
  <si>
    <t>ETE-88</t>
  </si>
  <si>
    <t>Return Load Phase 2</t>
  </si>
  <si>
    <t>ETE-73</t>
  </si>
  <si>
    <t>Teal Parts Daily Inventory Feed</t>
  </si>
  <si>
    <t>ETE-10</t>
  </si>
  <si>
    <t>Upload Utility for Planning Fields</t>
  </si>
  <si>
    <t>Tom Green</t>
  </si>
  <si>
    <t>ETE-32</t>
  </si>
  <si>
    <t>Form: Cash App SQL Fix</t>
  </si>
  <si>
    <t>ETE-76</t>
  </si>
  <si>
    <t>FedEx Web Services API</t>
  </si>
  <si>
    <t>ETE IT PMO — Project Timeline (Gantt View)</t>
  </si>
  <si>
    <t>Auto-populated from Project Portfolio  |  Non-complete projects only  |  Red line = current week</t>
  </si>
  <si>
    <t>January 2026</t>
  </si>
  <si>
    <t>February 2026</t>
  </si>
  <si>
    <t>March 2026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</si>
  <si>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</si>
  <si>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</si>
  <si>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</si>
  <si>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</si>
  <si>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</si>
  <si>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</si>
  <si>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</si>
  <si>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</si>
  <si>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</si>
  <si>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#</t>
  </si>
  <si>
    <t>Project ID</t>
  </si>
  <si>
    <t>Start</t>
  </si>
  <si>
    <t>End</t>
  </si>
  <si>
    <t>ETE IT PMO — Resource Model Guide</t>
  </si>
  <si>
    <t>A plain-English explanation of how the Resource Model works, what each sheet does, and how to use it.</t>
  </si>
  <si>
    <t>THE BIG PICTURE</t>
  </si>
  <si>
    <t>What is this?</t>
  </si>
  <si>
    <t>A set of 4 connected sheets that answer: "Do we have enough people for all these projects, and when will we be in trouble?"</t>
  </si>
  <si>
    <t>Why does it exist?</t>
  </si>
  <si>
    <t>The Portfolio shows WHAT projects we have. The Resource Model shows WHETHER we can actually staff them — and when bottlenecks will hit.</t>
  </si>
  <si>
    <t>Who should use it?</t>
  </si>
  <si>
    <t>PMO leads for weekly planning, resource decisions, and "what if" scenario testing (hiring, project delays, reprioritization).</t>
  </si>
  <si>
    <t>How do the sheets connect?</t>
  </si>
  <si>
    <t>RM_Assumptions (rules) → RM_Demand (how much work) → RM_SupplyVsDemand (big picture) → RM_WeeklyHeatmap (when exactly).</t>
  </si>
  <si>
    <t>What are the blue cells?</t>
  </si>
  <si>
    <t>Any cell with a blue/light blue background is an INPUT you can change. These are your scenario levers — adjust them and the model recalculates automatically.</t>
  </si>
  <si>
    <t>SHEET-BY-SHEET EXPLANATION</t>
  </si>
  <si>
    <t>📋 RM_Assumptions</t>
  </si>
  <si>
    <t>"What are our rules?" — This is the control panel for the whole model.</t>
  </si>
  <si>
    <t xml:space="preserve">  Time Allocation (rows 6-12)</t>
  </si>
  <si>
    <t>Each person works 40 hrs/week, but not all of it goes to projects. Admin (10%) and Break/Fix support (10%) eat into that, leaving 80% = 32 hrs/week for project work. You can change these percentages.</t>
  </si>
  <si>
    <t xml:space="preserve">  SDLC Phase Weights (row 16)</t>
  </si>
  <si>
    <t>A project isn't evenly spread. It's 10% Discovery → 10% Planning → 15% Design → 30% Build → 20% Test → 15% Deploy. These must add to 100%. Change them to match your actual project lifecycle.</t>
  </si>
  <si>
    <t xml:space="preserve">  Role Effort by Phase (rows 21-28)</t>
  </si>
  <si>
    <t>THIS IS THE KEY INSIGHT. A DBA isn't equally busy throughout a project. They barely touch Discovery (5%) but are heavily loaded in Build (30%). A BA is the opposite — 30% in Discovery, only 10% in Build. These percentages drive the weekly demand spikes in the heatmap.</t>
  </si>
  <si>
    <t xml:space="preserve">  Team Supply (rows 30-38)</t>
  </si>
  <si>
    <t>Auto-counts headcount and hours from the Team Roster. You don't edit these — they update when Team Roster changes.</t>
  </si>
  <si>
    <t>📊 RM_Demand</t>
  </si>
  <si>
    <t>"How much work is coming?" — Calculates total demand from active projects.</t>
  </si>
  <si>
    <t xml:space="preserve">  Active Projects (rows 6-18)</t>
  </si>
  <si>
    <t>Automatically pulls all non-complete, non-postponed projects from the Portfolio. You don't edit these rows — they update when Portfolio changes.</t>
  </si>
  <si>
    <t xml:space="preserve">  Total Demand by Role (rows 24-30)</t>
  </si>
  <si>
    <t>For each role, adds up: (Project Est. Hours × Role Allocation %) across all active projects. Shows you the total hours each role needs to deliver.</t>
  </si>
  <si>
    <t xml:space="preserve">  Project × Role Detail (rows 36-48)</t>
  </si>
  <si>
    <t>A breakdown showing exactly how many hours each project needs from each role. Useful for seeing which projects are driving the most demand.</t>
  </si>
  <si>
    <t>⚖️ RM_SupplyVsDemand</t>
  </si>
  <si>
    <t>"Are we OK overall?" — A summary scorecard comparing supply to demand.</t>
  </si>
  <si>
    <t xml:space="preserve">  Capacity Scorecard (rows 5-7)</t>
  </si>
  <si>
    <t>The headline numbers: Total Supply hrs/wk, Total Demand hrs/wk, Net Gap (+ means surplus, - means deficit), and Overall Utilization %.</t>
  </si>
  <si>
    <t xml:space="preserve">  By Role (rows 11-17)</t>
  </si>
  <si>
    <t>Same comparison broken out by role. Color-coded: green = fine, yellow = tight, red = over capacity. This tells you WHERE the problem is.</t>
  </si>
  <si>
    <t xml:space="preserve">  Scenario Notes (rows 31-37)</t>
  </si>
  <si>
    <t>A free-text area for documenting assumptions, decisions, and scenario notes from planning sessions.</t>
  </si>
  <si>
    <t>🗓️ RM_WeeklyHeatmap</t>
  </si>
  <si>
    <t>"WHEN are we in trouble?" — The action sheet you use in weekly planning.</t>
  </si>
  <si>
    <t xml:space="preserve">  Headcount Adjusters (rows 6-12)</t>
  </si>
  <si>
    <t>Type a number in the blue "Add/Remove" cells to simulate hiring or losing staff. Type 1 next to DBA to test "what if we hire another DBA?" Type -1 to test losing someone. The heatmap recalculates instantly.</t>
  </si>
  <si>
    <t xml:space="preserve">  Project Timelines (rows 17-29)</t>
  </si>
  <si>
    <t>Shows each active project's start/end dates (blue = editable). Change a date to test "what if we delay ETE-43 by a month?" or "what if we start ETE-49 sooner?" The heatmap recalculates.</t>
  </si>
  <si>
    <t xml:space="preserve">  The Heatmap (rows 34-40)</t>
  </si>
  <si>
    <t>The payoff. Each cell shows utilization % for one role in one week. Green (&lt;80%) = fine. Yellow (80-99%) = getting tight. Red (100%+) = overloaded, need to act. Demand shifts week-to-week because the model knows which SDLC phase each project is in.</t>
  </si>
  <si>
    <t>HOW TO RUN SCENARIOS</t>
  </si>
  <si>
    <t>"What if we hire another DBA?"</t>
  </si>
  <si>
    <t>Go to RM_WeeklyHeatmap → cell C11 (DBA Add/Remove) → type 1. The DBA row in the heatmap will drop from red to green. If it works, you've justified the hire.</t>
  </si>
  <si>
    <t>"What if we delay a project?"</t>
  </si>
  <si>
    <t>Go to RM_WeeklyHeatmap → find the project in rows 17-29 → change its Start Date (column D) or End Date (column E). The heatmap will shift that project's demand to different weeks.</t>
  </si>
  <si>
    <t>"What if a project takes longer?"</t>
  </si>
  <si>
    <t>Push the End Date further out. The same total hours get spread over more weeks, so weekly demand drops — but it stays on the heatmap longer.</t>
  </si>
  <si>
    <t>"What if we change how much BA time a project needs?"</t>
  </si>
  <si>
    <t>Go to RM_Assumptions → Role Effort by Phase (rows 21-28) → adjust the BA row. This changes how much BA demand every project generates during each phase.</t>
  </si>
  <si>
    <t>"What if we shift more time to admin?"</t>
  </si>
  <si>
    <t>Go to RM_Assumptions → Time Allocation (rows 7-9) → increase Admin %, decrease Project %. Everyone's available project hours shrink, so utilization goes up across the board.</t>
  </si>
  <si>
    <t>Reset everything</t>
  </si>
  <si>
    <t>Set all Headcount Adjusters back to 0. The project dates will revert to Portfolio defaults on their own (they pull from Portfolio when not overridden).</t>
  </si>
  <si>
    <t>READING THE HEATMAP COLORS</t>
  </si>
  <si>
    <t>🟢 Green (under 80%)</t>
  </si>
  <si>
    <t>This role has capacity. No action needed.</t>
  </si>
  <si>
    <t>🟡 Yellow (80-99%)</t>
  </si>
  <si>
    <t>At risk. A short burst of yellow (1-2 weeks) is OK — people can push through. But sustained yellow over 3+ weeks means you're running tight and any surprise will tip into red.</t>
  </si>
  <si>
    <t>🔴 Red (100% or higher)</t>
  </si>
  <si>
    <t>Over capacity. This role physically can't deliver everything assigned to them. Something has to give: hire more, delay a project, or reassign work. The higher the %, the worse it is (183% means you'd need almost 2x the people).</t>
  </si>
  <si>
    <t>All zeros (0%)</t>
  </si>
  <si>
    <t>Either no projects are active that week, or no projects need that role. Check if project dates are set correctly in the timeline section.</t>
  </si>
  <si>
    <t>IMPORTANT NOTES</t>
  </si>
  <si>
    <t>Projects with no dates</t>
  </si>
  <si>
    <t>If a project in the Portfolio has no Start/End date, the heatmap defaults it to starting today with a 12-week duration. Once real dates are added to the Portfolio, it picks them up automatically.</t>
  </si>
  <si>
    <t>Completed/Postponed projects</t>
  </si>
  <si>
    <t>These are automatically excluded from all demand calculations. You don't need to remove them.</t>
  </si>
  <si>
    <t>Phase totals over 100%</t>
  </si>
  <si>
    <t>In RM_Assumptions, the Phase Total row may show &gt;100%. This is correct — it means multiple roles work on the same phase. It's not a distribution (doesn't need to sum to 100%), it's effort intensity per role.</t>
  </si>
  <si>
    <t>Headcount vs. Team Roster</t>
  </si>
  <si>
    <t>Base headcount in the heatmap comes from Team Roster via RM_Assumptions. The Adjuster in the heatmap is a temporary "what if" — it doesn't change the actual roster.</t>
  </si>
  <si>
    <t>Don't edit gray cells</t>
  </si>
  <si>
    <t>Gray cells contain formulas. If you overwrite them, the model breaks. Only edit blue cells.</t>
  </si>
  <si>
    <t>📅 RM_Gantt (Resource-Leveled Gantt)</t>
  </si>
  <si>
    <t>"What's the recommended schedule?" — Shows projects rescheduled to avoid resource overloads.</t>
  </si>
  <si>
    <t xml:space="preserve">  What it does</t>
  </si>
  <si>
    <t>Takes all 13 active projects, sorts them by priority (Highest first), and schedules them one by one. If adding a project would push any role over 100% capacity, it pushes that project's start date forward week-by-week until it fits.</t>
  </si>
  <si>
    <t xml:space="preserve">  Schedule Table (cols A-I)</t>
  </si>
  <si>
    <t>Shows each project's original dates vs. adjusted dates. The "Shifted" column tells you how many weeks a project was pushed. Yellow-highlighted adjusted dates = the project moved.</t>
  </si>
  <si>
    <t xml:space="preserve">  Gantt Bars (cols J+)</t>
  </si>
  <si>
    <t>Color-coded bars: Red = Highest priority, Yellow = High, Blue = Medium. Green ghost bars show where a shifted project was originally scheduled.</t>
  </si>
  <si>
    <t xml:space="preserve">  Key insight</t>
  </si>
  <si>
    <t>The DBA is the binding constraint. All 5 Medium projects had to shift because of DBA overload. Highest and High priority projects kept their original dates.</t>
  </si>
  <si>
    <t xml:space="preserve">  ⚠️ Important</t>
  </si>
  <si>
    <t>This is a one-time snapshot, NOT a live formula. After changing headcount adjusters or project dates in RM_WeeklyHeatmap, ask Claude to regenerate the Gantt to get an updated recommended schedule.</t>
  </si>
  <si>
    <t>ETE IT PMO — Weekly Capacity Heatmap</t>
  </si>
  <si>
    <t>Overloaded (&gt;100%)</t>
  </si>
  <si>
    <t>At Capacity (85-100%)</t>
  </si>
  <si>
    <t>Healthy (50-84%)</t>
  </si>
  <si>
    <t>Underutilized (&lt;50%)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</si>
  <si>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</si>
  <si>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</si>
  <si>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</si>
  <si>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</si>
  <si>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</si>
  <si>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</si>
  <si>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</si>
  <si>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</si>
  <si>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</si>
  <si>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</si>
  <si>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</si>
  <si>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</si>
  <si>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WK 13</t>
  </si>
  <si>
    <t>WK 14</t>
  </si>
  <si>
    <t>WK 15</t>
  </si>
  <si>
    <t>WK 16</t>
  </si>
  <si>
    <t>WK 17</t>
  </si>
  <si>
    <t>WK 18</t>
  </si>
  <si>
    <t>WK 19</t>
  </si>
  <si>
    <t>WK 20</t>
  </si>
  <si>
    <t>WK 21</t>
  </si>
  <si>
    <t>WK 22</t>
  </si>
  <si>
    <t>WK 23</t>
  </si>
  <si>
    <t>WK 24</t>
  </si>
  <si>
    <t>WK 25</t>
  </si>
  <si>
    <t>WK 26</t>
  </si>
  <si>
    <t>Net Capacity (hrs/wk)</t>
  </si>
  <si>
    <t>ETE IT PMO — Resource Scheduler</t>
  </si>
  <si>
    <t>Planning Start Date:</t>
  </si>
  <si>
    <t>WEEKLY AVAILABLE HOURS BY ROLE</t>
  </si>
  <si>
    <t># Resources</t>
  </si>
  <si>
    <t>Total Capacity (hrs/wk)</t>
  </si>
  <si>
    <t>Avg Support %</t>
  </si>
  <si>
    <t>UNSCHEDULED PROJECTS — RESOURCE REQUIREMENTS &amp; SUGGESTED SCHEDULE</t>
  </si>
  <si>
    <t>Needs BA?</t>
  </si>
  <si>
    <t>Functional?</t>
  </si>
  <si>
    <t>Technical?</t>
  </si>
  <si>
    <t>Developer?</t>
  </si>
  <si>
    <t>Infrastructure?</t>
  </si>
  <si>
    <t>DBA?</t>
  </si>
  <si>
    <t>Hrs/Wk Needed</t>
  </si>
  <si>
    <t>Earliest Start</t>
  </si>
  <si>
    <t>Projected End</t>
  </si>
  <si>
    <t>HOW TO USE:</t>
  </si>
  <si>
    <t>1. In the Project Portfolio tab, fill in Role % columns (T-AA) for each unscheduled project. Hrs/Wk auto-calculates from role % × avg available hours.</t>
  </si>
  <si>
    <t>2. Role requirements (E-J) and Hrs/Wk Needed (K) auto-populate here from Portfolio. Columns L-M auto-calculate start/end dates.</t>
  </si>
  <si>
    <t>3. Availability section (top) updates automatically when you add/change project dates in the Project Portfolio</t>
  </si>
  <si>
    <t>ETE IT PMO — Resource Model Assumptions</t>
  </si>
  <si>
    <t>All blue inputs are configurable. Change values to run scenarios.</t>
  </si>
  <si>
    <t>TIME ALLOCATION MODEL</t>
  </si>
  <si>
    <t>Parameter</t>
  </si>
  <si>
    <t>Value</t>
  </si>
  <si>
    <t>Unit</t>
  </si>
  <si>
    <t>Base Hours / Week</t>
  </si>
  <si>
    <t>hrs</t>
  </si>
  <si>
    <t>Standard work week</t>
  </si>
  <si>
    <t>Admin Allocation</t>
  </si>
  <si>
    <t>%</t>
  </si>
  <si>
    <t>Meetings, email, admin tasks</t>
  </si>
  <si>
    <t>Break/Fix Allocation</t>
  </si>
  <si>
    <t>Support tickets, break/fix work</t>
  </si>
  <si>
    <t>Project Allocation</t>
  </si>
  <si>
    <t>Time available for project work</t>
  </si>
  <si>
    <t>Available Project Hrs / Person / Wk</t>
  </si>
  <si>
    <t>Base Hrs × Project %</t>
  </si>
  <si>
    <t>Allocation Check (must = 100%)</t>
  </si>
  <si>
    <t>Max Projects / Person</t>
  </si>
  <si>
    <t>projects</t>
  </si>
  <si>
    <t>Constraint: no one on more than 3</t>
  </si>
  <si>
    <t>SDLC PHASE WEIGHTS</t>
  </si>
  <si>
    <t>Discovery</t>
  </si>
  <si>
    <t>Planning</t>
  </si>
  <si>
    <t>Design</t>
  </si>
  <si>
    <t>Build</t>
  </si>
  <si>
    <t>Test</t>
  </si>
  <si>
    <t>Deploy/Hypercare</t>
  </si>
  <si>
    <t>% of Project Effort</t>
  </si>
  <si>
    <t>ROLE EFFORT BY SDLC PHASE</t>
  </si>
  <si>
    <t>% of phase effort per role (rows don't need to sum to 100% — each role works a share of each phase independently)</t>
  </si>
  <si>
    <t>Avg Effort</t>
  </si>
  <si>
    <t>IT Business Analyst/SME</t>
  </si>
  <si>
    <t>IT Functional Analyst</t>
  </si>
  <si>
    <t>IT Tech Analyst/Developer</t>
  </si>
  <si>
    <t>Phase Total (all roles)</t>
  </si>
  <si>
    <t>SUPPLY: TEAM CAPACITY BY ROLE</t>
  </si>
  <si>
    <t>Hrs/Wk (Gross)</t>
  </si>
  <si>
    <t>Project Hrs/Wk</t>
  </si>
  <si>
    <t>Roster role: "Project Manager"</t>
  </si>
  <si>
    <t>Roster role: "DBA"</t>
  </si>
  <si>
    <t>Roster role: "Business Analyst"</t>
  </si>
  <si>
    <t>Roster role: "Functional"</t>
  </si>
  <si>
    <t>Roster role: "Technical"</t>
  </si>
  <si>
    <t>Roster role: "Developer"</t>
  </si>
  <si>
    <t>Roster role: "Infrastructure"</t>
  </si>
  <si>
    <t>Roster role: "WMS Consultant"</t>
  </si>
  <si>
    <t>ETE IT PMO — Resource Demand by Role</t>
  </si>
  <si>
    <t>Demand calculated from Project Portfolio using RM_Assumptions. All formulas reference configurable inputs.</t>
  </si>
  <si>
    <t>ACTIVE PROJECTS — DEMAND INPUTS</t>
  </si>
  <si>
    <t>Status</t>
  </si>
  <si>
    <t>TOTAL DEMAND BY ROLE (Hours)</t>
  </si>
  <si>
    <t>Each project's Est. Hours × role allocation % = total hours that role needs for that project</t>
  </si>
  <si>
    <t>Total Demand (hrs)</t>
  </si>
  <si>
    <t>Avg Weeks to Deliver*</t>
  </si>
  <si>
    <t>Weekly Demand (hrs)</t>
  </si>
  <si>
    <t>Weekly Supply (hrs)</t>
  </si>
  <si>
    <t>Weekly Gap</t>
  </si>
  <si>
    <t>* Avg Weeks to Deliver is configurable per role (blue cells). Adjust based on project pipeline and staggering assumptions.</t>
  </si>
  <si>
    <t>PROJECT × ROLE DETAIL (Hours per project per role)</t>
  </si>
  <si>
    <t>BA Hrs</t>
  </si>
  <si>
    <t>Functional Hrs</t>
  </si>
  <si>
    <t>Technical Hrs</t>
  </si>
  <si>
    <t>Developer Hrs</t>
  </si>
  <si>
    <t>Infra Hrs</t>
  </si>
  <si>
    <t>DBA Hrs</t>
  </si>
  <si>
    <t>PM Hrs</t>
  </si>
  <si>
    <t>ETE IT PMO — Supply vs. Demand Analysis</t>
  </si>
  <si>
    <t>Side-by-side comparison of available capacity vs. project demand by role. All values flow from RM_Assumptions and RM_Demand.</t>
  </si>
  <si>
    <t>CAPACITY SCORECARD</t>
  </si>
  <si>
    <t>TOTAL WEEKLY SUPPLY</t>
  </si>
  <si>
    <t>TOTAL WEEKLY DEMAND</t>
  </si>
  <si>
    <t>NET WEEKLY GAP</t>
  </si>
  <si>
    <t>PROJECT UTILIZATION</t>
  </si>
  <si>
    <t>Project hrs/wk</t>
  </si>
  <si>
    <t>Avg hrs/wk needed</t>
  </si>
  <si>
    <t>+ surplus / - deficit</t>
  </si>
  <si>
    <t>Demand / Supply</t>
  </si>
  <si>
    <t>SUPPLY vs. DEMAND BY ROLE</t>
  </si>
  <si>
    <t>Weekly Gap (hrs)</t>
  </si>
  <si>
    <t>Utilization %</t>
  </si>
  <si>
    <t>CAPACITY UTILIZATION BY ROLE (Visual)</t>
  </si>
  <si>
    <t>Capacity Bar</t>
  </si>
  <si>
    <t>Interpretation</t>
  </si>
  <si>
    <t>SCENARIO PLANNING NOTES</t>
  </si>
  <si>
    <t>Assumption</t>
  </si>
  <si>
    <t>Current Value</t>
  </si>
  <si>
    <t>Impact</t>
  </si>
  <si>
    <t>How to Change</t>
  </si>
  <si>
    <t>Time Allocation</t>
  </si>
  <si>
    <t>Increasing project % gives more capacity per person</t>
  </si>
  <si>
    <t>RM_Assumptions B7:B9</t>
  </si>
  <si>
    <t>Avg Weeks to Deliver</t>
  </si>
  <si>
    <t>12 wks (all roles)</t>
  </si>
  <si>
    <t>Fewer weeks = higher weekly demand peak</t>
  </si>
  <si>
    <t>RM_Demand C24:C30</t>
  </si>
  <si>
    <t>Role Effort by Phase</t>
  </si>
  <si>
    <t>See RM_Assumptions</t>
  </si>
  <si>
    <t>Shifting effort between phases changes peak demand timing</t>
  </si>
  <si>
    <t>RM_Assumptions B21:G28</t>
  </si>
  <si>
    <t>23 total</t>
  </si>
  <si>
    <t>Adding headcount to bottleneck roles directly increases supply</t>
  </si>
  <si>
    <t>Team Roster (source)</t>
  </si>
  <si>
    <t>Project Mix</t>
  </si>
  <si>
    <t>13 active projects</t>
  </si>
  <si>
    <t>Completing or postponing projects reduces demand</t>
  </si>
  <si>
    <t>Project Portfolio status</t>
  </si>
  <si>
    <t>ETE IT PMO — Weekly Resource Heatmap</t>
  </si>
  <si>
    <t>Change blue cells to run scenarios: adjust headcount, shift project dates, see impact on weekly utilization by role.</t>
  </si>
  <si>
    <t>SCENARIO: HEADCOUNT ADJUSTERS</t>
  </si>
  <si>
    <t>Base Headcount</t>
  </si>
  <si>
    <t>Add/Remove</t>
  </si>
  <si>
    <t>Scenario Headcount</t>
  </si>
  <si>
    <t>Hrs/Person/Wk</t>
  </si>
  <si>
    <t>Scenario Supply/Wk</t>
  </si>
  <si>
    <t>SCENARIO: PROJECT TIMELINES</t>
  </si>
  <si>
    <t>Scenario Start</t>
  </si>
  <si>
    <t>Scenario End</t>
  </si>
  <si>
    <t>Duration (wks)</t>
  </si>
  <si>
    <t>Func %</t>
  </si>
  <si>
    <t>Tech %</t>
  </si>
  <si>
    <t>Dev %</t>
  </si>
  <si>
    <t>Infra %</t>
  </si>
  <si>
    <t>WEEKLY UTILIZATION HEATMAP</t>
  </si>
  <si>
    <t>Role \ Week Starting →</t>
  </si>
  <si>
    <t>LEGEND:  🟢 Green (&lt;80%) = OK  |  🟡 Yellow (80-99%) = At Risk  |  🔴 Red (≥100%) = Over Capacity</t>
  </si>
  <si>
    <t>HOW TO USE: Change Add/Remove (C6:C12) to test adding staff. Change Scenario Start/End dates (D17:E29) to shift projects.</t>
  </si>
  <si>
    <t>PHASE BOUNDARIES (Helper — calculates which SDLC phase each project is in each week)</t>
  </si>
  <si>
    <t>Phase</t>
  </si>
  <si>
    <t>Deploy</t>
  </si>
  <si>
    <t>Weight</t>
  </si>
  <si>
    <t>Cumulative</t>
  </si>
  <si>
    <t>mpl</t>
  </si>
  <si>
    <t>Projects scheduled by priority. Highest/High go first; Medium shifts as needed to keep all roles ≤100%.</t>
  </si>
  <si>
    <t>⚠️ Recommended schedule — regenerate after changing headcount or dates in RM_WeeklyHeatmap.</t>
  </si>
  <si>
    <t>Est Hrs</t>
  </si>
  <si>
    <t>Orig Start</t>
  </si>
  <si>
    <t>Orig End</t>
  </si>
  <si>
    <t>Adj Start</t>
  </si>
  <si>
    <t>Adj End</t>
  </si>
  <si>
    <t>Shifted</t>
  </si>
  <si>
    <t>—</t>
  </si>
  <si>
    <t>■</t>
  </si>
  <si>
    <t>Std Order Process Notifs</t>
  </si>
  <si>
    <t>+1 wk</t>
  </si>
  <si>
    <t>·</t>
  </si>
  <si>
    <t>+7 wk</t>
  </si>
  <si>
    <t>+4 wk</t>
  </si>
  <si>
    <t>+8 wk</t>
  </si>
  <si>
    <t>+10 wk</t>
  </si>
  <si>
    <t>LEGEND</t>
  </si>
  <si>
    <t>🔴 Red bar = Highest priority</t>
  </si>
  <si>
    <t>Scheduled first, never shifted</t>
  </si>
  <si>
    <t>🟡 Yellow bar = High priority</t>
  </si>
  <si>
    <t>Scheduled second, no shifts needed here</t>
  </si>
  <si>
    <t>🔵 Blue bar = Medium priority</t>
  </si>
  <si>
    <t>Shifted right if needed to resolve overloads</t>
  </si>
  <si>
    <t>🟩 Green dots = Original position</t>
  </si>
  <si>
    <t>Where the project was before leveling pushed it</t>
  </si>
  <si>
    <t>POST-LEVELING PEAK UTILIZATION</t>
  </si>
  <si>
    <t>Peak / Status</t>
  </si>
  <si>
    <t>BA/SME</t>
  </si>
  <si>
    <t>21% 🟢</t>
  </si>
  <si>
    <t>49% 🟢</t>
  </si>
  <si>
    <t>32% 🟢</t>
  </si>
  <si>
    <t>40% 🟢</t>
  </si>
  <si>
    <t>100% 🟡 At Limit — consider adding 1 DBA</t>
  </si>
  <si>
    <t>35% 🟢</t>
  </si>
  <si>
    <t>ETE IT PMO — AI Resource Planning Agent: Technical Specification</t>
  </si>
  <si>
    <t>Phase 1 MVP — Stateful AI agent for resource optimization, portfolio analysis, and decision support.</t>
  </si>
  <si>
    <t>1. PROJECT OVERVIEW</t>
  </si>
  <si>
    <t>ETE IT PMO AI Resource Planning Agent</t>
  </si>
  <si>
    <t>Version</t>
  </si>
  <si>
    <t>Phase 1 MVP</t>
  </si>
  <si>
    <t>Purpose</t>
  </si>
  <si>
    <t>Build a persistent AI agent that reads the ETE IT PMO Excel workbook, understands the project portfolio and team capacity, runs constraint-based optimization for resource scheduling, and provides natural language recommendations via a chat interface. Excel remains the source of truth for data entry and executive/board reporting.</t>
  </si>
  <si>
    <t>Problem Statement</t>
  </si>
  <si>
    <t>The PMO team manually manages 40+ projects across 23 resources using Excel. Determining optimal project schedules, identifying resource bottlenecks, and running what-if scenarios requires navigating 6+ interconnected sheets with complex formulas. The team needs an intelligent layer that can answer capacity questions, flag risks, and recommend optimal schedules — while keeping Excel as the foundation.</t>
  </si>
  <si>
    <t>Key Outcome</t>
  </si>
  <si>
    <t>A PMO lead can ask: "Can we take on a new 400-hour project with 60% Developer allocation?" and get an immediate answer with impact analysis, trade-off options, and a recommended schedule — all grounded in real data from the Excel workbook.</t>
  </si>
  <si>
    <t>Estimated Effort</t>
  </si>
  <si>
    <t>2-3 weeks with one Python developer familiar with APIs and basic cloud deployment.</t>
  </si>
  <si>
    <t>Estimated Monthly Cost</t>
  </si>
  <si>
    <t>~$30-70/month (Claude API ~$20-50, hosting ~$10-20). No per-seat licensing.</t>
  </si>
  <si>
    <t>2. EXCEL DATA MODEL — Source of Truth</t>
  </si>
  <si>
    <t>Workbook</t>
  </si>
  <si>
    <t>ETE_2026_IT_Budget_Tracker.xlsx (hosted on SharePoint/OneDrive)</t>
  </si>
  <si>
    <t>Access Method</t>
  </si>
  <si>
    <t>Option A: Microsoft Graph API (if on SharePoint — preferred for real-time access)
Option B: openpyxl (Python library — reads .xlsx directly from file share)
Option C: OneDrive sync + file watcher (simplest — watch local copy for changes)</t>
  </si>
  <si>
    <t>2a. Project Portfolio Sheet</t>
  </si>
  <si>
    <t>Range</t>
  </si>
  <si>
    <t>Project Portfolio'!A3:AC42 (row 3 = headers, rows 4-42 = projects)</t>
  </si>
  <si>
    <t>Key Columns</t>
  </si>
  <si>
    <t>A: ID (e.g., ETE-83) | B: Project Name | C: Type | D: Business Portfolio | E: Sponsor/Leader | F: Project Health (ON TRACK, NEEDS SPEC, NOT STARTED, POSTPONED) | G: % Complete (0-100%) | H: Priority (Highest/High/Medium/Low) | I: Start Date | J: Est. End Date | R: Est. Hours | T-AA: Role allocation percentages (BA%, Func%, Tech%, Dev%, Infra%, DBA%, PM%, WMS%)</t>
  </si>
  <si>
    <t>Active Filter</t>
  </si>
  <si>
    <t>Exclude: Project Health = POSTPONED, % Complete = 100%. Currently ~13 active of 40 total.</t>
  </si>
  <si>
    <t>Priority Rule</t>
  </si>
  <si>
    <t>ABSOLUTE: Highest &gt; High &gt; Medium &gt; Low. Never delay Highest for Medium.</t>
  </si>
  <si>
    <t>2b. Team Roster Sheet</t>
  </si>
  <si>
    <t>Team Roster'!A3:H26 (23 team members)</t>
  </si>
  <si>
    <t>A: Resource name | B: Role (PM, DBA, BA, Functional, Technical, Developer, Infrastructure, WMS) | C: Team | D: Vendor | E: Classification (FTE/Contractor) | F: Rate/Hour | G: Weekly Hrs Available | H: Support Reserve %</t>
  </si>
  <si>
    <t>Current Team</t>
  </si>
  <si>
    <t>23 resources: 3 PM, 1 DBA, 4 BA/SME, 2 Functional, 5 Technical, 4 Developer, 3 Infrastructure, 1 WMS</t>
  </si>
  <si>
    <t>2c. RM_Assumptions Sheet</t>
  </si>
  <si>
    <t>Admin 10% + Break/Fix 10% + Project 80% = 100%. Result: 32 project hrs/person/week.</t>
  </si>
  <si>
    <t>SDLC Phase Weights</t>
  </si>
  <si>
    <t>Discovery 10%, Planning 10%, Design 15%, Build 30%, Test 20%, Deploy 15% = 100%</t>
  </si>
  <si>
    <t>Role Effort Matrix</t>
  </si>
  <si>
    <t>8 roles × 6 phases. Example: Developer = 0% Discovery → 5% Planning → 10% Design → 50% Build → 25% Test → 10% Deploy. This drives demand curves — each role's workload varies by project phase.</t>
  </si>
  <si>
    <t>Critical Rule</t>
  </si>
  <si>
    <t>Demand for a role is ZERO if the project's role allocation % is 0 in the Portfolio. The agent MUST gate by this — we caught a bug where the Excel model was applying DBA effort to all projects regardless of allocation.</t>
  </si>
  <si>
    <t>3. AGENT CAPABILITIES</t>
  </si>
  <si>
    <t>3a. Core (MVP)</t>
  </si>
  <si>
    <t>Portfolio Status</t>
  </si>
  <si>
    <t>Answer: "What's the status of Highest projects?" "Which projects are stuck?" "How many projects does Tom lead?" Grounded in live Excel data.</t>
  </si>
  <si>
    <t>Capacity Analysis</t>
  </si>
  <si>
    <t>Calculate real-time utilization by role. Weekly supply = headcount × 32. Weekly demand = Σ(Est.Hours × Role% × SDLC Phase Effort%) / duration. Thresholds: &lt;80% green, 80-99% yellow, ≥100% red.</t>
  </si>
  <si>
    <t>What-If Scenarios</t>
  </si>
  <si>
    <t>"What if we add a 400-hr project?" → adds demand, identifies overloaded weeks, generates 2-4 mitigation options with specific numbers.</t>
  </si>
  <si>
    <t>Schedule Optimization</t>
  </si>
  <si>
    <t>Sort by priority. Place projects on timeline. If any role exceeds 85%, shift lower-priority projects forward until it fits. Never shift Highest/High. Output: recommended dates + shift amounts.</t>
  </si>
  <si>
    <t>Trade-Off Options</t>
  </si>
  <si>
    <t>When constrained, generate 2-4 options: (A) delay specific projects, (B) add headcount + cost est., (C) reduce scope, (D) accept short overload. Rank by recommendation.</t>
  </si>
  <si>
    <t>Change Detection</t>
  </si>
  <si>
    <t>Compare current Excel to last snapshot. Report: new projects, status changes, % complete changes, date changes. Proactive at start of each session.</t>
  </si>
  <si>
    <t>3b. Stretch (Phase 1.5)</t>
  </si>
  <si>
    <t>Board Summary</t>
  </si>
  <si>
    <t>Generate plain-English executive summary: active projects, utilization, top risks, decisions made. Write to Excel sheet.</t>
  </si>
  <si>
    <t>Proactive Alerts</t>
  </si>
  <si>
    <t>Teams/Slack notification when: role &gt; 90%, project stuck &gt; 2 weeks, end date passed with &lt; 90% complete.</t>
  </si>
  <si>
    <t>Trend Analysis</t>
  </si>
  <si>
    <t>"How has Developer utilization trended over 8 weeks?" Requires storing weekly snapshots.</t>
  </si>
  <si>
    <t>4. TECHNICAL ARCHITECTURE</t>
  </si>
  <si>
    <t>Runtime</t>
  </si>
  <si>
    <t>Python 3.11+, long-lived process (server, Azure Function, or local PC)</t>
  </si>
  <si>
    <t>AI Model</t>
  </si>
  <si>
    <t>Claude Sonnet 4 (claude-sonnet-4-20250514) via Anthropic API with tool-use</t>
  </si>
  <si>
    <t>Optimization</t>
  </si>
  <si>
    <t>Google OR-Tools (free, handles constraint programming). Objective: minimize total delay, constraints: all roles ≤ 85% utilization, priority hierarchy respected.</t>
  </si>
  <si>
    <t>Memory</t>
  </si>
  <si>
    <t>SQLite database. Tables: portfolio_snapshots (weekly state), decisions (approved actions + reasoning), agent_state (preferences, last run date).</t>
  </si>
  <si>
    <t>Chat Interface</t>
  </si>
  <si>
    <t>Option A: Streamlit web app (fastest to build, ~50 lines). Option B: Teams bot (best adoption, needs Azure AD setup).</t>
  </si>
  <si>
    <t>Excel Access</t>
  </si>
  <si>
    <t>openpyxl for direct file read/write. NEVER overwrite Portfolio or Team Roster without explicit user confirmation. Write only to output sheets.</t>
  </si>
  <si>
    <t>5. SYSTEM PROMPT (Draft)</t>
  </si>
  <si>
    <t>System Prompt</t>
  </si>
  <si>
    <t>You are the ETE IT PMO Resource Planning Agent. You help the PMO team make data-driven resource allocation decisions.
RULES:
• Highest priority = immovable. Never delay.
• High priority = minimal flex (≤2 weeks).
• Medium/Low = flexible. Delay these first.
• Target utilization: 85%. Red ≥100% must be resolved.
• Demand = Est.Hours × Role% × SDLC Phase Effort% / Duration. Only if Role% &gt; 0.
• Always provide 2-4 concrete options with specific numbers.
• Never overwrite source sheets without confirmation.
• Lead with the answer, then supporting detail.
• Cite specific numbers: "Developer at 106%" not "Developer is overloaded".</t>
  </si>
  <si>
    <t>6. IMPLEMENTATION PLAN</t>
  </si>
  <si>
    <t>Week 1: Foundation</t>
  </si>
  <si>
    <t>Day 1-2: Excel Connector (read_portfolio, read_roster, read_assumptions)
Day 3-4: Claude API + tool-use integration + system prompt
Day 5: Memory store (SQLite, save/load/compare snapshots)</t>
  </si>
  <si>
    <t>Week 2: Intelligence</t>
  </si>
  <si>
    <t>Day 6-8: OR-Tools optimization engine (constraint solver for scheduling)
Day 9-10: What-if scenario engine (add project, lose resource, shift dates)</t>
  </si>
  <si>
    <t>Week 3: Interface</t>
  </si>
  <si>
    <t>Day 11-12: Streamlit chat UI or Teams bot
Day 13-14: End-to-end testing with real data (5 core scenarios)
Day 15: Deployment + team training</t>
  </si>
  <si>
    <t>7. SUCCESS CRITERIA</t>
  </si>
  <si>
    <t>Accuracy</t>
  </si>
  <si>
    <t>Utilization calculations match Excel within 1% tolerance.</t>
  </si>
  <si>
    <t>Speed</t>
  </si>
  <si>
    <t>All queries answered in &lt;10 seconds (Excel read + Claude API + optimization).</t>
  </si>
  <si>
    <t>Correctly identifies changes between sessions unprompted.</t>
  </si>
  <si>
    <t>All roles ≤85% in leveled schedule. No Highest project delayed. Total delay minimized.</t>
  </si>
  <si>
    <t>Adoption</t>
  </si>
  <si>
    <t>PMO lead uses agent ≥3x/week within 2 weeks of deployment.</t>
  </si>
  <si>
    <t>Board Ready</t>
  </si>
  <si>
    <t>Agent-generated summary needs &lt;5 min of editing for board deck.</t>
  </si>
  <si>
    <t>8. RISKS &amp; MITIGATIONS</t>
  </si>
  <si>
    <t>Stale Data</t>
  </si>
  <si>
    <t>If Excel not saved/synced, agent reads old data. Mitigation: show "Data as of: [timestamp]" in every response.</t>
  </si>
  <si>
    <t>AI Hallucination</t>
  </si>
  <si>
    <t>Agent could generate plausible wrong numbers. Mitigation: every claim must trace to a tool call with cited source data.</t>
  </si>
  <si>
    <t>Accidental Overwrite</t>
  </si>
  <si>
    <t>Agent writes to wrong cells. Mitigation: hard-code whitelist of writable sheets (RM_Gantt, Board_Summary). Require confirmation.</t>
  </si>
  <si>
    <t>Impractical Schedule</t>
  </si>
  <si>
    <t>Algorithm shifts project 16 weeks. Mitigation: cap max shift by priority (Highest:0, High:2, Medium:8, Low:16 weeks).</t>
  </si>
  <si>
    <t>Adoption Risk</t>
  </si>
  <si>
    <t>Team doesn't use it. Mitigation: start with PMO lead only, prove value, then expand. Excel stays primary interface.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</si>
</sst>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"/>
    <numFmt numFmtId="165" formatCode="mm/dd/yyyy"/>
    <numFmt numFmtId="166" formatCode="mm/dd"/>
    <numFmt numFmtId="167" formatCode="mm/dd/yy"/>
    <numFmt numFmtId="168" formatCode=";;;"/>
    <numFmt numFmtId="169" formatCode="_([$$-409]* #,##0.00_);_([$$-409]* \(#,##0.00\);_([$$-409]* &quot;-&quot;??_);_(@_)"/>
    <numFmt numFmtId="170" formatCode="0.0%"/>
    <numFmt numFmtId="171" formatCode="0.0"/>
  </numFmts>
  <fonts count="77">
    <font>
      <sz val="11"/>
      <color theme="1"/>
      <name val="Calibri"/>
      <family val="2"/>
      <charset val="1"/>
    </font>
    <font>
      <sz val="10"/>
      <name val="Arial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4"/>
      <color rgb="FF1B2A4A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666666"/>
      <name val="Arial"/>
      <charset val="1"/>
    </font>
    <font>
      <sz val="8"/>
      <color rgb="FFFFFFFF"/>
      <name val="Arial"/>
      <charset val="1"/>
    </font>
    <font>
      <b/>
      <sz val="12"/>
      <color rgb="FF1B2A4A"/>
      <name val="Arial"/>
      <charset val="1"/>
    </font>
    <font>
      <sz val="10"/>
      <color rgb="FF0000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sz val="9"/>
      <color rgb="FF808080"/>
      <name val="Arial"/>
    </font>
    <font>
      <sz val="9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b/>
      <sz val="16"/>
      <color theme="1"/>
      <name val="Arial"/>
    </font>
    <font>
      <b/>
      <sz val="12"/>
      <color rgb="FFFFFFFF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name val="Arial"/>
    </font>
    <font>
      <b/>
      <sz val="11"/>
      <color rgb="FF1B2A4A"/>
      <name val="Arial"/>
    </font>
    <font>
      <sz val="10"/>
      <color rgb="FF555555"/>
      <name val="Arial"/>
    </font>
    <font>
      <b/>
      <sz val="11"/>
      <color rgb="FF0000FF"/>
      <name val="Arial"/>
    </font>
    <font>
      <i/>
      <sz val="10"/>
      <color rgb="FF888888"/>
      <name val="Arial"/>
    </font>
    <font>
      <sz val="11"/>
      <color rgb="FF000000"/>
      <name val="Arial"/>
    </font>
    <font>
      <sz val="10"/>
      <color rgb="FF333333"/>
      <name val="Aptos"/>
    </font>
    <font>
      <b/>
      <sz val="10"/>
      <color rgb="FF1B2A4A"/>
      <name val="Aptos"/>
    </font>
    <font>
      <b/>
      <sz val="10"/>
      <color rgb="FF333333"/>
      <name val="Aptos"/>
    </font>
    <font>
      <b/>
      <sz val="9"/>
      <color rgb="FF6B7B8D"/>
      <name val="Aptos"/>
    </font>
    <font>
      <b/>
      <sz val="22"/>
      <color rgb="FF1B2A4A"/>
      <name val="Aptos"/>
    </font>
    <font>
      <i/>
      <sz val="8"/>
      <color rgb="FF999999"/>
      <name val="Aptos"/>
    </font>
    <font>
      <b/>
      <sz val="11"/>
      <color rgb="FFFFFFFF"/>
      <name val="Aptos"/>
    </font>
    <font>
      <b/>
      <sz val="9"/>
      <color rgb="FFFFFFFF"/>
      <name val="Aptos"/>
    </font>
    <font>
      <sz val="10"/>
      <color rgb="FF2563EB"/>
      <name val="Aptos"/>
    </font>
    <font>
      <b/>
      <sz val="10"/>
      <color rgb="FFFFFFFF"/>
      <name val="Aptos"/>
    </font>
    <font>
      <b/>
      <sz val="14"/>
      <color theme="0"/>
      <name val="Aptos"/>
    </font>
    <font>
      <b/>
      <sz val="10"/>
      <color theme="0"/>
      <name val="Aptos"/>
    </font>
    <font>
      <b/>
      <sz val="14"/>
      <color rgb="FF1B2A4A"/>
      <name val="Calibri"/>
      <family val="2"/>
      <charset val="1"/>
    </font>
    <font>
      <i/>
      <sz val="9"/>
      <color rgb="FF666666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0000FF"/>
      <name val="Calibri"/>
      <family val="2"/>
      <charset val="1"/>
    </font>
    <font>
      <b/>
      <sz val="11"/>
      <color rgb="FF0000FF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9"/>
      <color rgb="FF888888"/>
      <name val="Calibri"/>
      <family val="2"/>
      <charset val="1"/>
    </font>
    <font>
      <b/>
      <sz val="9"/>
      <color rgb="FF888888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9"/>
      <color theme="1"/>
      <name val="Calibri"/>
      <family val="2"/>
      <charset val="1"/>
    </font>
    <font>
      <b/>
      <sz val="20"/>
      <color theme="1"/>
      <name val="Calibri"/>
      <family val="2"/>
      <charset val="1"/>
    </font>
    <font>
      <b/>
      <sz val="20"/>
      <color rgb="FF1B2A4A"/>
      <name val="Calibri"/>
      <family val="2"/>
      <charset val="1"/>
    </font>
    <font>
      <i/>
      <sz val="9"/>
      <color rgb="FF888888"/>
      <name val="Calibri"/>
      <family val="2"/>
      <charset val="1"/>
    </font>
    <font>
      <b/>
      <sz val="8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16"/>
      <color rgb="FF1F3864"/>
      <name val="Aptos"/>
    </font>
    <font>
      <b/>
      <sz val="11"/>
      <color rgb="FF1F3864"/>
      <name val="Calibri"/>
      <family val="2"/>
      <charset val="1"/>
    </font>
    <font>
      <sz val="11"/>
      <color theme="1"/>
      <name val="Aptos"/>
    </font>
    <font>
      <i/>
      <sz val="10"/>
      <color rgb="FF666666"/>
      <name val="Aptos"/>
    </font>
    <font>
      <b/>
      <sz val="13"/>
      <color rgb="FFFFFFFF"/>
      <name val="Aptos"/>
    </font>
    <font>
      <b/>
      <sz val="10"/>
      <color rgb="FF1F3864"/>
      <name val="Aptos"/>
    </font>
    <font>
      <sz val="10"/>
      <color theme="1"/>
      <name val="Aptos"/>
    </font>
    <font>
      <b/>
      <sz val="10"/>
      <color theme="1"/>
      <name val="Aptos"/>
    </font>
    <font>
      <sz val="10"/>
      <color rgb="FF444444"/>
      <name val="Aptos"/>
    </font>
    <font>
      <b/>
      <sz val="10"/>
      <color rgb="FF000000"/>
      <name val="Aptos"/>
    </font>
    <font>
      <sz val="11"/>
      <color rgb="FFFFFFFF"/>
      <name val="Calibri"/>
      <family val="2"/>
      <charset val="1"/>
    </font>
    <font>
      <b/>
      <sz val="11"/>
      <color rgb="FFC00000"/>
      <name val="Calibri"/>
      <family val="2"/>
      <charset val="1"/>
    </font>
    <font>
      <b/>
      <sz val="14"/>
      <color rgb="FF1F3864"/>
      <name val="Calibri"/>
      <family val="2"/>
      <charset val="1"/>
    </font>
    <font>
      <sz val="9"/>
      <color rgb="FFC00000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8"/>
      <color theme="1"/>
      <name val="Calibri"/>
      <family val="2"/>
      <charset val="1"/>
    </font>
    <font>
      <b/>
      <sz val="12"/>
      <color rgb="FF1F3864"/>
      <name val="Aptos"/>
    </font>
    <font>
      <i/>
      <sz val="10"/>
      <color rgb="FF666666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1"/>
      <color rgb="FF1B2A4A"/>
      <name val="Calibri"/>
      <family val="2"/>
      <charset val="1"/>
    </font>
  </fonts>
  <fills count="3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D4A7A"/>
        <bgColor rgb="FF1B2A4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3D5A80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E5393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444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E8EAF0"/>
        <bgColor indexed="64"/>
      </patternFill>
    </fill>
  </fills>
  <borders count="3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0D0D0"/>
      </left>
      <right/>
      <top style="thin">
        <color rgb="FFD0D0D0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 style="thin">
        <color rgb="FFD0D0D0"/>
      </top>
      <bottom style="thin">
        <color rgb="FFD9D9D9"/>
      </bottom>
      <diagonal/>
    </border>
    <border>
      <left style="thick">
        <color rgb="FFFF0000"/>
      </left>
      <right/>
      <top/>
      <bottom style="thin">
        <color rgb="FFD9D9D9"/>
      </bottom>
      <diagonal/>
    </border>
    <border>
      <left style="thick">
        <color rgb="FFFF0000"/>
      </left>
      <right/>
      <top style="thin">
        <color rgb="FFD9D9D9"/>
      </top>
      <bottom style="thin">
        <color rgb="FFD9D9D9"/>
      </bottom>
      <diagonal/>
    </border>
    <border>
      <left style="thick">
        <color rgb="FFFF0000"/>
      </left>
      <right/>
      <top/>
      <bottom style="thin">
        <color rgb="FFD0D0D0"/>
      </bottom>
      <diagonal/>
    </border>
    <border>
      <left style="thin">
        <color rgb="FFD9D9D9"/>
      </left>
      <right style="thin">
        <color rgb="FFD0D0D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0D0D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theme="4" tint="0.39997558519241921"/>
      </top>
      <bottom/>
      <diagonal/>
    </border>
    <border>
      <left style="thin">
        <color rgb="FFD0D0D0"/>
      </left>
      <right/>
      <top style="thin">
        <color theme="4" tint="0.39997558519241921"/>
      </top>
      <bottom/>
      <diagonal/>
    </border>
    <border>
      <left style="thin">
        <color rgb="FFD0D0D0"/>
      </left>
      <right/>
      <top style="medium">
        <color rgb="FFFF0000"/>
      </top>
      <bottom style="thin">
        <color rgb="FFD9D9D9"/>
      </bottom>
      <diagonal/>
    </border>
    <border>
      <left style="thin">
        <color rgb="FFD0D0D0"/>
      </left>
      <right style="thin">
        <color rgb="FFD0D0D0"/>
      </right>
      <top style="medium">
        <color rgb="FFFF0000"/>
      </top>
      <bottom style="thin">
        <color rgb="FFD9D9D9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1B2A4A"/>
      </top>
      <bottom/>
      <diagonal/>
    </border>
  </borders>
  <cellStyleXfs count="1">
    <xf numFmtId="0" fontId="0" fillId="0" borderId="0"/>
  </cellStyleXfs>
  <cellXfs count="270">
    <xf numFmtId="0" fontId="0" fillId="0" borderId="0" xfId="0"/>
    <xf numFmtId="0" fontId="3" fillId="0" borderId="0" xfId="0" applyFont="1"/>
    <xf numFmtId="9" fontId="3" fillId="0" borderId="0" xfId="0" applyNumberFormat="1" applyFont="1"/>
    <xf numFmtId="0" fontId="0" fillId="0" borderId="0" xfId="0" applyProtection="1"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13" fillId="8" borderId="1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13" fillId="8" borderId="4" xfId="0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 applyProtection="1">
      <alignment vertical="center" wrapText="1"/>
      <protection locked="0"/>
    </xf>
    <xf numFmtId="0" fontId="6" fillId="4" borderId="2" xfId="0" applyFont="1" applyFill="1" applyBorder="1" applyAlignment="1" applyProtection="1">
      <alignment vertical="center" wrapText="1"/>
      <protection locked="0"/>
    </xf>
    <xf numFmtId="0" fontId="11" fillId="6" borderId="1" xfId="0" applyFont="1" applyFill="1" applyBorder="1" applyAlignment="1" applyProtection="1">
      <alignment vertical="center" wrapText="1"/>
      <protection locked="0"/>
    </xf>
    <xf numFmtId="164" fontId="6" fillId="4" borderId="3" xfId="0" applyNumberFormat="1" applyFont="1" applyFill="1" applyBorder="1" applyAlignment="1" applyProtection="1">
      <alignment vertical="center" wrapText="1"/>
      <protection locked="0"/>
    </xf>
    <xf numFmtId="9" fontId="10" fillId="6" borderId="1" xfId="0" applyNumberFormat="1" applyFont="1" applyFill="1" applyBorder="1" applyAlignment="1" applyProtection="1">
      <alignment vertical="center" wrapText="1"/>
      <protection locked="0"/>
    </xf>
    <xf numFmtId="9" fontId="11" fillId="6" borderId="1" xfId="0" applyNumberFormat="1" applyFont="1" applyFill="1" applyBorder="1" applyAlignment="1" applyProtection="1">
      <alignment vertical="center" wrapText="1"/>
      <protection locked="0"/>
    </xf>
    <xf numFmtId="1" fontId="11" fillId="6" borderId="1" xfId="0" applyNumberFormat="1" applyFont="1" applyFill="1" applyBorder="1" applyAlignment="1" applyProtection="1">
      <alignment vertical="center" wrapText="1"/>
      <protection locked="0"/>
    </xf>
    <xf numFmtId="0" fontId="6" fillId="5" borderId="1" xfId="0" applyFont="1" applyFill="1" applyBorder="1" applyAlignment="1" applyProtection="1">
      <alignment vertical="center" wrapText="1"/>
      <protection locked="0"/>
    </xf>
    <xf numFmtId="0" fontId="6" fillId="5" borderId="2" xfId="0" applyFont="1" applyFill="1" applyBorder="1" applyAlignment="1" applyProtection="1">
      <alignment vertical="center" wrapText="1"/>
      <protection locked="0"/>
    </xf>
    <xf numFmtId="0" fontId="11" fillId="7" borderId="1" xfId="0" applyFont="1" applyFill="1" applyBorder="1" applyAlignment="1" applyProtection="1">
      <alignment vertical="center" wrapText="1"/>
      <protection locked="0"/>
    </xf>
    <xf numFmtId="164" fontId="6" fillId="5" borderId="3" xfId="0" applyNumberFormat="1" applyFont="1" applyFill="1" applyBorder="1" applyAlignment="1" applyProtection="1">
      <alignment vertical="center" wrapText="1"/>
      <protection locked="0"/>
    </xf>
    <xf numFmtId="9" fontId="10" fillId="7" borderId="1" xfId="0" applyNumberFormat="1" applyFont="1" applyFill="1" applyBorder="1" applyAlignment="1" applyProtection="1">
      <alignment vertical="center" wrapText="1"/>
      <protection locked="0"/>
    </xf>
    <xf numFmtId="9" fontId="11" fillId="7" borderId="1" xfId="0" applyNumberFormat="1" applyFont="1" applyFill="1" applyBorder="1" applyAlignment="1" applyProtection="1">
      <alignment vertical="center" wrapText="1"/>
      <protection locked="0"/>
    </xf>
    <xf numFmtId="1" fontId="11" fillId="7" borderId="1" xfId="0" applyNumberFormat="1" applyFont="1" applyFill="1" applyBorder="1" applyAlignment="1" applyProtection="1">
      <alignment vertical="center" wrapText="1"/>
      <protection locked="0"/>
    </xf>
    <xf numFmtId="9" fontId="10" fillId="6" borderId="5" xfId="0" applyNumberFormat="1" applyFont="1" applyFill="1" applyBorder="1" applyAlignment="1" applyProtection="1">
      <alignment vertical="center" wrapText="1"/>
      <protection locked="0"/>
    </xf>
    <xf numFmtId="0" fontId="6" fillId="4" borderId="5" xfId="0" applyFont="1" applyFill="1" applyBorder="1" applyAlignment="1" applyProtection="1">
      <alignment vertical="center" wrapText="1"/>
      <protection locked="0"/>
    </xf>
    <xf numFmtId="9" fontId="12" fillId="6" borderId="5" xfId="0" applyNumberFormat="1" applyFont="1" applyFill="1" applyBorder="1" applyAlignment="1" applyProtection="1">
      <alignment vertical="center" wrapText="1"/>
      <protection locked="0"/>
    </xf>
    <xf numFmtId="1" fontId="12" fillId="6" borderId="5" xfId="0" applyNumberFormat="1" applyFont="1" applyFill="1" applyBorder="1" applyAlignment="1" applyProtection="1">
      <alignment vertical="center" wrapText="1"/>
      <protection locked="0"/>
    </xf>
    <xf numFmtId="0" fontId="7" fillId="0" borderId="0" xfId="0" applyFont="1" applyProtection="1">
      <protection locked="0"/>
    </xf>
    <xf numFmtId="0" fontId="5" fillId="2" borderId="4" xfId="0" applyFont="1" applyFill="1" applyBorder="1" applyAlignment="1" applyProtection="1">
      <alignment horizontal="center" vertical="center" wrapText="1"/>
      <protection locked="0"/>
    </xf>
    <xf numFmtId="166" fontId="5" fillId="2" borderId="4" xfId="0" applyNumberFormat="1" applyFont="1" applyFill="1" applyBorder="1" applyAlignment="1" applyProtection="1">
      <alignment horizontal="center" vertical="center" wrapText="1"/>
      <protection locked="0"/>
    </xf>
    <xf numFmtId="166" fontId="5" fillId="2" borderId="7" xfId="0" applyNumberFormat="1" applyFont="1" applyFill="1" applyBorder="1" applyAlignment="1" applyProtection="1">
      <alignment horizontal="center" vertical="center" wrapText="1"/>
      <protection locked="0"/>
    </xf>
    <xf numFmtId="166" fontId="5" fillId="2" borderId="14" xfId="0" applyNumberFormat="1" applyFont="1" applyFill="1" applyBorder="1" applyAlignment="1" applyProtection="1">
      <alignment horizontal="center" vertical="center" wrapText="1"/>
      <protection locked="0"/>
    </xf>
    <xf numFmtId="166" fontId="5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5" fillId="2" borderId="17" xfId="0" applyNumberFormat="1" applyFont="1" applyFill="1" applyBorder="1" applyAlignment="1" applyProtection="1">
      <alignment horizontal="center" vertical="center" wrapText="1"/>
      <protection locked="0"/>
    </xf>
    <xf numFmtId="166" fontId="5" fillId="2" borderId="20" xfId="0" applyNumberFormat="1" applyFont="1" applyFill="1" applyBorder="1" applyAlignment="1" applyProtection="1">
      <alignment horizontal="center" vertical="center" wrapText="1"/>
      <protection locked="0"/>
    </xf>
    <xf numFmtId="0" fontId="14" fillId="7" borderId="1" xfId="0" applyFont="1" applyFill="1" applyBorder="1" applyAlignment="1" applyProtection="1">
      <alignment horizontal="center"/>
      <protection locked="0"/>
    </xf>
    <xf numFmtId="0" fontId="16" fillId="6" borderId="1" xfId="0" applyFont="1" applyFill="1" applyBorder="1" applyAlignment="1" applyProtection="1">
      <alignment vertical="center"/>
      <protection locked="0"/>
    </xf>
    <xf numFmtId="0" fontId="16" fillId="6" borderId="1" xfId="0" applyFont="1" applyFill="1" applyBorder="1" applyAlignment="1" applyProtection="1">
      <alignment vertical="center" wrapText="1"/>
      <protection locked="0"/>
    </xf>
    <xf numFmtId="167" fontId="15" fillId="6" borderId="1" xfId="0" applyNumberFormat="1" applyFont="1" applyFill="1" applyBorder="1" applyAlignment="1" applyProtection="1">
      <alignment vertical="center"/>
      <protection locked="0"/>
    </xf>
    <xf numFmtId="167" fontId="15" fillId="6" borderId="2" xfId="0" applyNumberFormat="1" applyFont="1" applyFill="1" applyBorder="1" applyAlignment="1" applyProtection="1">
      <alignment vertical="center"/>
      <protection locked="0"/>
    </xf>
    <xf numFmtId="168" fontId="0" fillId="0" borderId="11" xfId="0" applyNumberFormat="1" applyBorder="1" applyProtection="1">
      <protection locked="0"/>
    </xf>
    <xf numFmtId="168" fontId="0" fillId="0" borderId="12" xfId="0" applyNumberFormat="1" applyBorder="1" applyProtection="1">
      <protection locked="0"/>
    </xf>
    <xf numFmtId="168" fontId="0" fillId="0" borderId="18" xfId="0" applyNumberFormat="1" applyBorder="1" applyProtection="1">
      <protection locked="0"/>
    </xf>
    <xf numFmtId="0" fontId="14" fillId="6" borderId="1" xfId="0" applyFont="1" applyFill="1" applyBorder="1" applyAlignment="1" applyProtection="1">
      <alignment horizontal="center"/>
      <protection locked="0"/>
    </xf>
    <xf numFmtId="168" fontId="0" fillId="0" borderId="13" xfId="0" applyNumberFormat="1" applyBorder="1" applyProtection="1">
      <protection locked="0"/>
    </xf>
    <xf numFmtId="168" fontId="0" fillId="0" borderId="17" xfId="0" applyNumberFormat="1" applyBorder="1" applyProtection="1">
      <protection locked="0"/>
    </xf>
    <xf numFmtId="0" fontId="17" fillId="9" borderId="0" xfId="0" applyFont="1" applyFill="1" applyAlignment="1" applyProtection="1">
      <alignment horizontal="center" vertical="center"/>
      <protection locked="0"/>
    </xf>
    <xf numFmtId="0" fontId="18" fillId="10" borderId="0" xfId="0" applyFont="1" applyFill="1" applyAlignment="1" applyProtection="1">
      <alignment horizontal="center" vertical="center"/>
      <protection locked="0"/>
    </xf>
    <xf numFmtId="0" fontId="17" fillId="11" borderId="0" xfId="0" applyFont="1" applyFill="1" applyAlignment="1" applyProtection="1">
      <alignment horizontal="center" vertical="center"/>
      <protection locked="0"/>
    </xf>
    <xf numFmtId="0" fontId="18" fillId="12" borderId="0" xfId="0" applyFont="1" applyFill="1" applyAlignment="1" applyProtection="1">
      <alignment horizontal="center" vertical="center"/>
      <protection locked="0"/>
    </xf>
    <xf numFmtId="0" fontId="8" fillId="3" borderId="0" xfId="0" applyFont="1" applyFill="1" applyAlignment="1" applyProtection="1">
      <alignment horizontal="center" vertical="center" wrapText="1"/>
      <protection locked="0"/>
    </xf>
    <xf numFmtId="166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9" fontId="6" fillId="4" borderId="1" xfId="0" applyNumberFormat="1" applyFont="1" applyFill="1" applyBorder="1" applyAlignment="1" applyProtection="1">
      <alignment vertical="center" wrapText="1"/>
      <protection locked="0"/>
    </xf>
    <xf numFmtId="0" fontId="9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24" fillId="16" borderId="0" xfId="0" applyFont="1" applyFill="1" applyProtection="1">
      <protection locked="0"/>
    </xf>
    <xf numFmtId="165" fontId="26" fillId="16" borderId="0" xfId="0" applyNumberFormat="1" applyFont="1" applyFill="1" applyAlignment="1" applyProtection="1">
      <alignment horizontal="center"/>
      <protection locked="0"/>
    </xf>
    <xf numFmtId="0" fontId="27" fillId="0" borderId="0" xfId="0" applyFont="1" applyProtection="1">
      <protection locked="0"/>
    </xf>
    <xf numFmtId="0" fontId="20" fillId="8" borderId="0" xfId="0" applyFont="1" applyFill="1" applyProtection="1">
      <protection locked="0"/>
    </xf>
    <xf numFmtId="0" fontId="0" fillId="8" borderId="0" xfId="0" applyFill="1" applyProtection="1">
      <protection locked="0"/>
    </xf>
    <xf numFmtId="0" fontId="22" fillId="13" borderId="21" xfId="0" applyFont="1" applyFill="1" applyBorder="1" applyProtection="1">
      <protection locked="0"/>
    </xf>
    <xf numFmtId="166" fontId="5" fillId="2" borderId="21" xfId="0" applyNumberFormat="1" applyFont="1" applyFill="1" applyBorder="1" applyAlignment="1" applyProtection="1">
      <alignment horizontal="center" vertical="center" wrapText="1"/>
      <protection locked="0"/>
    </xf>
    <xf numFmtId="166" fontId="13" fillId="8" borderId="21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21" xfId="0" applyFont="1" applyBorder="1" applyProtection="1">
      <protection locked="0"/>
    </xf>
    <xf numFmtId="0" fontId="6" fillId="4" borderId="21" xfId="0" applyFont="1" applyFill="1" applyBorder="1" applyAlignment="1" applyProtection="1">
      <alignment vertical="center" wrapText="1"/>
      <protection locked="0"/>
    </xf>
    <xf numFmtId="9" fontId="6" fillId="4" borderId="21" xfId="0" applyNumberFormat="1" applyFont="1" applyFill="1" applyBorder="1" applyAlignment="1" applyProtection="1">
      <alignment horizontal="center" vertical="center" wrapText="1"/>
      <protection locked="0"/>
    </xf>
    <xf numFmtId="1" fontId="23" fillId="4" borderId="21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22" xfId="0" applyFont="1" applyBorder="1" applyProtection="1">
      <protection locked="0"/>
    </xf>
    <xf numFmtId="0" fontId="6" fillId="4" borderId="22" xfId="0" applyFont="1" applyFill="1" applyBorder="1" applyAlignment="1" applyProtection="1">
      <alignment vertical="center" wrapText="1"/>
      <protection locked="0"/>
    </xf>
    <xf numFmtId="9" fontId="6" fillId="4" borderId="22" xfId="0" applyNumberFormat="1" applyFont="1" applyFill="1" applyBorder="1" applyAlignment="1" applyProtection="1">
      <alignment horizontal="center" vertical="center" wrapText="1"/>
      <protection locked="0"/>
    </xf>
    <xf numFmtId="1" fontId="23" fillId="4" borderId="22" xfId="0" applyNumberFormat="1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Protection="1">
      <protection locked="0"/>
    </xf>
    <xf numFmtId="0" fontId="22" fillId="13" borderId="25" xfId="0" applyFont="1" applyFill="1" applyBorder="1" applyProtection="1">
      <protection locked="0"/>
    </xf>
    <xf numFmtId="0" fontId="13" fillId="14" borderId="21" xfId="0" applyFont="1" applyFill="1" applyBorder="1" applyProtection="1">
      <protection locked="0"/>
    </xf>
    <xf numFmtId="0" fontId="21" fillId="0" borderId="21" xfId="0" applyFont="1" applyBorder="1" applyProtection="1">
      <protection locked="0"/>
    </xf>
    <xf numFmtId="0" fontId="21" fillId="0" borderId="23" xfId="0" applyFont="1" applyBorder="1" applyAlignment="1" applyProtection="1">
      <alignment horizontal="center"/>
      <protection locked="0"/>
    </xf>
    <xf numFmtId="0" fontId="28" fillId="6" borderId="26" xfId="0" applyFont="1" applyFill="1" applyBorder="1" applyAlignment="1" applyProtection="1">
      <alignment horizontal="center"/>
      <protection locked="0"/>
    </xf>
    <xf numFmtId="1" fontId="28" fillId="6" borderId="26" xfId="0" applyNumberFormat="1" applyFont="1" applyFill="1" applyBorder="1" applyAlignment="1" applyProtection="1">
      <alignment horizontal="center"/>
      <protection locked="0"/>
    </xf>
    <xf numFmtId="165" fontId="21" fillId="0" borderId="24" xfId="0" applyNumberFormat="1" applyFont="1" applyBorder="1" applyAlignment="1" applyProtection="1">
      <alignment horizontal="center"/>
      <protection locked="0"/>
    </xf>
    <xf numFmtId="165" fontId="21" fillId="0" borderId="21" xfId="0" applyNumberFormat="1" applyFont="1" applyBorder="1" applyAlignment="1" applyProtection="1">
      <alignment horizontal="center"/>
      <protection locked="0"/>
    </xf>
    <xf numFmtId="0" fontId="24" fillId="0" borderId="0" xfId="0" applyFont="1" applyProtection="1">
      <protection locked="0"/>
    </xf>
    <xf numFmtId="0" fontId="25" fillId="0" borderId="0" xfId="0" applyFont="1" applyProtection="1">
      <protection locked="0"/>
    </xf>
    <xf numFmtId="9" fontId="6" fillId="6" borderId="1" xfId="0" applyNumberFormat="1" applyFont="1" applyFill="1" applyBorder="1" applyAlignment="1" applyProtection="1">
      <alignment vertical="center" wrapText="1"/>
      <protection locked="0"/>
    </xf>
    <xf numFmtId="9" fontId="6" fillId="7" borderId="1" xfId="0" applyNumberFormat="1" applyFont="1" applyFill="1" applyBorder="1" applyAlignment="1" applyProtection="1">
      <alignment vertical="center" wrapText="1"/>
      <protection locked="0"/>
    </xf>
    <xf numFmtId="0" fontId="11" fillId="7" borderId="6" xfId="0" applyFont="1" applyFill="1" applyBorder="1" applyAlignment="1" applyProtection="1">
      <alignment vertical="center" wrapText="1"/>
      <protection locked="0"/>
    </xf>
    <xf numFmtId="0" fontId="11" fillId="7" borderId="4" xfId="0" applyFont="1" applyFill="1" applyBorder="1" applyAlignment="1" applyProtection="1">
      <alignment vertical="center" wrapText="1"/>
      <protection locked="0"/>
    </xf>
    <xf numFmtId="1" fontId="11" fillId="7" borderId="4" xfId="0" applyNumberFormat="1" applyFont="1" applyFill="1" applyBorder="1" applyAlignment="1" applyProtection="1">
      <alignment vertical="center" wrapText="1"/>
      <protection locked="0"/>
    </xf>
    <xf numFmtId="0" fontId="5" fillId="2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6" fillId="15" borderId="7" xfId="0" applyFont="1" applyFill="1" applyBorder="1" applyAlignment="1">
      <alignment vertical="center" wrapText="1"/>
    </xf>
    <xf numFmtId="0" fontId="3" fillId="15" borderId="7" xfId="0" applyFont="1" applyFill="1" applyBorder="1" applyAlignment="1">
      <alignment vertical="center" wrapText="1"/>
    </xf>
    <xf numFmtId="9" fontId="6" fillId="15" borderId="7" xfId="0" applyNumberFormat="1" applyFont="1" applyFill="1" applyBorder="1" applyAlignment="1">
      <alignment vertical="center" wrapText="1"/>
    </xf>
    <xf numFmtId="165" fontId="6" fillId="15" borderId="7" xfId="0" applyNumberFormat="1" applyFont="1" applyFill="1" applyBorder="1" applyAlignment="1">
      <alignment vertical="center" wrapText="1"/>
    </xf>
    <xf numFmtId="0" fontId="1" fillId="15" borderId="7" xfId="0" applyFont="1" applyFill="1" applyBorder="1" applyAlignment="1">
      <alignment vertical="center" wrapText="1"/>
    </xf>
    <xf numFmtId="169" fontId="1" fillId="15" borderId="28" xfId="0" applyNumberFormat="1" applyFont="1" applyFill="1" applyBorder="1" applyAlignment="1">
      <alignment vertical="center" wrapText="1"/>
    </xf>
    <xf numFmtId="9" fontId="1" fillId="15" borderId="28" xfId="0" applyNumberFormat="1" applyFont="1" applyFill="1" applyBorder="1" applyAlignment="1">
      <alignment horizontal="center" vertical="center" wrapText="1"/>
    </xf>
    <xf numFmtId="9" fontId="1" fillId="15" borderId="7" xfId="0" applyNumberFormat="1" applyFont="1" applyFill="1" applyBorder="1" applyAlignment="1">
      <alignment horizontal="center" vertical="center" wrapText="1"/>
    </xf>
    <xf numFmtId="0" fontId="1" fillId="15" borderId="28" xfId="0" applyFont="1" applyFill="1" applyBorder="1" applyAlignment="1">
      <alignment vertical="center" wrapText="1"/>
    </xf>
    <xf numFmtId="0" fontId="1" fillId="15" borderId="27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9" fontId="6" fillId="6" borderId="7" xfId="0" applyNumberFormat="1" applyFont="1" applyFill="1" applyBorder="1" applyAlignment="1">
      <alignment vertical="center" wrapText="1"/>
    </xf>
    <xf numFmtId="165" fontId="6" fillId="6" borderId="7" xfId="0" applyNumberFormat="1" applyFont="1" applyFill="1" applyBorder="1" applyAlignment="1">
      <alignment vertical="center" wrapText="1"/>
    </xf>
    <xf numFmtId="0" fontId="1" fillId="6" borderId="7" xfId="0" applyFont="1" applyFill="1" applyBorder="1" applyAlignment="1">
      <alignment vertical="center" wrapText="1"/>
    </xf>
    <xf numFmtId="169" fontId="1" fillId="6" borderId="7" xfId="0" applyNumberFormat="1" applyFont="1" applyFill="1" applyBorder="1" applyAlignment="1">
      <alignment vertical="center" wrapText="1"/>
    </xf>
    <xf numFmtId="9" fontId="1" fillId="6" borderId="7" xfId="0" applyNumberFormat="1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vertical="center" wrapText="1"/>
    </xf>
    <xf numFmtId="169" fontId="1" fillId="15" borderId="7" xfId="0" applyNumberFormat="1" applyFont="1" applyFill="1" applyBorder="1" applyAlignment="1">
      <alignment vertical="center" wrapText="1"/>
    </xf>
    <xf numFmtId="0" fontId="1" fillId="15" borderId="4" xfId="0" applyFont="1" applyFill="1" applyBorder="1" applyAlignment="1">
      <alignment vertical="center" wrapText="1"/>
    </xf>
    <xf numFmtId="9" fontId="11" fillId="15" borderId="7" xfId="0" applyNumberFormat="1" applyFont="1" applyFill="1" applyBorder="1" applyAlignment="1">
      <alignment horizontal="center" vertical="center" wrapText="1"/>
    </xf>
    <xf numFmtId="9" fontId="11" fillId="6" borderId="7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vertical="center" wrapText="1"/>
    </xf>
    <xf numFmtId="9" fontId="6" fillId="6" borderId="2" xfId="0" applyNumberFormat="1" applyFont="1" applyFill="1" applyBorder="1" applyAlignment="1">
      <alignment vertical="center" wrapText="1"/>
    </xf>
    <xf numFmtId="165" fontId="6" fillId="6" borderId="2" xfId="0" applyNumberFormat="1" applyFont="1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169" fontId="1" fillId="6" borderId="2" xfId="0" applyNumberFormat="1" applyFont="1" applyFill="1" applyBorder="1" applyAlignment="1">
      <alignment vertical="center" wrapText="1"/>
    </xf>
    <xf numFmtId="9" fontId="1" fillId="6" borderId="2" xfId="0" applyNumberFormat="1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6" fillId="15" borderId="10" xfId="0" applyFont="1" applyFill="1" applyBorder="1" applyAlignment="1">
      <alignment vertical="center" wrapText="1"/>
    </xf>
    <xf numFmtId="9" fontId="6" fillId="15" borderId="10" xfId="0" applyNumberFormat="1" applyFont="1" applyFill="1" applyBorder="1" applyAlignment="1">
      <alignment vertical="center" wrapText="1"/>
    </xf>
    <xf numFmtId="165" fontId="6" fillId="15" borderId="10" xfId="0" applyNumberFormat="1" applyFont="1" applyFill="1" applyBorder="1" applyAlignment="1">
      <alignment vertical="center" wrapText="1"/>
    </xf>
    <xf numFmtId="0" fontId="1" fillId="15" borderId="10" xfId="0" applyFont="1" applyFill="1" applyBorder="1" applyAlignment="1">
      <alignment vertical="center" wrapText="1"/>
    </xf>
    <xf numFmtId="169" fontId="1" fillId="15" borderId="10" xfId="0" applyNumberFormat="1" applyFont="1" applyFill="1" applyBorder="1" applyAlignment="1">
      <alignment vertical="center" wrapText="1"/>
    </xf>
    <xf numFmtId="9" fontId="1" fillId="15" borderId="10" xfId="0" applyNumberFormat="1" applyFont="1" applyFill="1" applyBorder="1" applyAlignment="1">
      <alignment horizontal="center" vertical="center" wrapText="1"/>
    </xf>
    <xf numFmtId="0" fontId="1" fillId="15" borderId="9" xfId="0" applyFont="1" applyFill="1" applyBorder="1" applyAlignment="1">
      <alignment vertical="center" wrapText="1"/>
    </xf>
    <xf numFmtId="0" fontId="6" fillId="15" borderId="29" xfId="0" applyFont="1" applyFill="1" applyBorder="1" applyAlignment="1">
      <alignment vertical="center" wrapText="1"/>
    </xf>
    <xf numFmtId="9" fontId="6" fillId="15" borderId="29" xfId="0" applyNumberFormat="1" applyFont="1" applyFill="1" applyBorder="1" applyAlignment="1">
      <alignment vertical="center" wrapText="1"/>
    </xf>
    <xf numFmtId="165" fontId="6" fillId="15" borderId="29" xfId="0" applyNumberFormat="1" applyFont="1" applyFill="1" applyBorder="1" applyAlignment="1">
      <alignment vertical="center" wrapText="1"/>
    </xf>
    <xf numFmtId="0" fontId="1" fillId="15" borderId="29" xfId="0" applyFont="1" applyFill="1" applyBorder="1" applyAlignment="1">
      <alignment vertical="center" wrapText="1"/>
    </xf>
    <xf numFmtId="169" fontId="1" fillId="15" borderId="29" xfId="0" applyNumberFormat="1" applyFont="1" applyFill="1" applyBorder="1" applyAlignment="1">
      <alignment vertical="center" wrapText="1"/>
    </xf>
    <xf numFmtId="9" fontId="1" fillId="15" borderId="29" xfId="0" applyNumberFormat="1" applyFont="1" applyFill="1" applyBorder="1" applyAlignment="1">
      <alignment horizontal="center" vertical="center" wrapText="1"/>
    </xf>
    <xf numFmtId="0" fontId="1" fillId="15" borderId="30" xfId="0" applyFont="1" applyFill="1" applyBorder="1" applyAlignment="1">
      <alignment vertical="center" wrapText="1"/>
    </xf>
    <xf numFmtId="0" fontId="6" fillId="6" borderId="8" xfId="0" applyFont="1" applyFill="1" applyBorder="1" applyAlignment="1">
      <alignment vertical="center" wrapText="1"/>
    </xf>
    <xf numFmtId="9" fontId="6" fillId="6" borderId="8" xfId="0" applyNumberFormat="1" applyFont="1" applyFill="1" applyBorder="1" applyAlignment="1">
      <alignment vertical="center" wrapText="1"/>
    </xf>
    <xf numFmtId="165" fontId="6" fillId="6" borderId="8" xfId="0" applyNumberFormat="1" applyFont="1" applyFill="1" applyBorder="1" applyAlignment="1">
      <alignment vertical="center" wrapText="1"/>
    </xf>
    <xf numFmtId="0" fontId="1" fillId="6" borderId="8" xfId="0" applyFont="1" applyFill="1" applyBorder="1" applyAlignment="1">
      <alignment vertical="center" wrapText="1"/>
    </xf>
    <xf numFmtId="169" fontId="1" fillId="6" borderId="8" xfId="0" applyNumberFormat="1" applyFont="1" applyFill="1" applyBorder="1" applyAlignment="1">
      <alignment vertical="center" wrapText="1"/>
    </xf>
    <xf numFmtId="9" fontId="1" fillId="6" borderId="8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 wrapText="1"/>
    </xf>
    <xf numFmtId="0" fontId="29" fillId="0" borderId="0" xfId="0" applyFont="1"/>
    <xf numFmtId="0" fontId="35" fillId="8" borderId="0" xfId="0" applyFont="1" applyFill="1"/>
    <xf numFmtId="0" fontId="36" fillId="18" borderId="0" xfId="0" applyFont="1" applyFill="1" applyAlignment="1">
      <alignment horizontal="center"/>
    </xf>
    <xf numFmtId="0" fontId="29" fillId="6" borderId="0" xfId="0" applyFont="1" applyFill="1" applyAlignment="1">
      <alignment horizontal="center"/>
    </xf>
    <xf numFmtId="0" fontId="29" fillId="19" borderId="0" xfId="0" applyFont="1" applyFill="1" applyAlignment="1">
      <alignment horizontal="center"/>
    </xf>
    <xf numFmtId="0" fontId="36" fillId="18" borderId="31" xfId="0" applyFont="1" applyFill="1" applyBorder="1" applyAlignment="1">
      <alignment horizontal="center"/>
    </xf>
    <xf numFmtId="0" fontId="31" fillId="6" borderId="32" xfId="0" applyFont="1" applyFill="1" applyBorder="1" applyAlignment="1">
      <alignment horizontal="left"/>
    </xf>
    <xf numFmtId="3" fontId="29" fillId="6" borderId="32" xfId="0" applyNumberFormat="1" applyFont="1" applyFill="1" applyBorder="1" applyAlignment="1">
      <alignment horizontal="center"/>
    </xf>
    <xf numFmtId="3" fontId="37" fillId="6" borderId="32" xfId="0" applyNumberFormat="1" applyFont="1" applyFill="1" applyBorder="1" applyAlignment="1">
      <alignment horizontal="center"/>
    </xf>
    <xf numFmtId="9" fontId="29" fillId="6" borderId="32" xfId="0" applyNumberFormat="1" applyFont="1" applyFill="1" applyBorder="1" applyAlignment="1">
      <alignment horizontal="center"/>
    </xf>
    <xf numFmtId="0" fontId="31" fillId="19" borderId="32" xfId="0" applyFont="1" applyFill="1" applyBorder="1" applyAlignment="1">
      <alignment horizontal="left"/>
    </xf>
    <xf numFmtId="3" fontId="29" fillId="19" borderId="32" xfId="0" applyNumberFormat="1" applyFont="1" applyFill="1" applyBorder="1" applyAlignment="1">
      <alignment horizontal="center"/>
    </xf>
    <xf numFmtId="3" fontId="37" fillId="19" borderId="32" xfId="0" applyNumberFormat="1" applyFont="1" applyFill="1" applyBorder="1" applyAlignment="1">
      <alignment horizontal="center"/>
    </xf>
    <xf numFmtId="9" fontId="29" fillId="19" borderId="32" xfId="0" applyNumberFormat="1" applyFont="1" applyFill="1" applyBorder="1" applyAlignment="1">
      <alignment horizontal="center"/>
    </xf>
    <xf numFmtId="0" fontId="31" fillId="6" borderId="33" xfId="0" applyFont="1" applyFill="1" applyBorder="1" applyAlignment="1">
      <alignment horizontal="left"/>
    </xf>
    <xf numFmtId="0" fontId="29" fillId="6" borderId="33" xfId="0" applyFont="1" applyFill="1" applyBorder="1" applyAlignment="1">
      <alignment horizontal="center"/>
    </xf>
    <xf numFmtId="9" fontId="38" fillId="20" borderId="33" xfId="0" applyNumberFormat="1" applyFont="1" applyFill="1" applyBorder="1" applyAlignment="1">
      <alignment horizontal="center"/>
    </xf>
    <xf numFmtId="0" fontId="31" fillId="19" borderId="33" xfId="0" applyFont="1" applyFill="1" applyBorder="1" applyAlignment="1">
      <alignment horizontal="left"/>
    </xf>
    <xf numFmtId="3" fontId="29" fillId="19" borderId="33" xfId="0" applyNumberFormat="1" applyFont="1" applyFill="1" applyBorder="1" applyAlignment="1">
      <alignment horizontal="center"/>
    </xf>
    <xf numFmtId="3" fontId="37" fillId="19" borderId="33" xfId="0" applyNumberFormat="1" applyFont="1" applyFill="1" applyBorder="1" applyAlignment="1">
      <alignment horizontal="center"/>
    </xf>
    <xf numFmtId="9" fontId="29" fillId="19" borderId="33" xfId="0" applyNumberFormat="1" applyFont="1" applyFill="1" applyBorder="1" applyAlignment="1">
      <alignment horizontal="center"/>
    </xf>
    <xf numFmtId="0" fontId="30" fillId="17" borderId="34" xfId="0" applyFont="1" applyFill="1" applyBorder="1" applyAlignment="1">
      <alignment horizontal="left"/>
    </xf>
    <xf numFmtId="3" fontId="30" fillId="17" borderId="34" xfId="0" applyNumberFormat="1" applyFont="1" applyFill="1" applyBorder="1" applyAlignment="1">
      <alignment horizontal="center"/>
    </xf>
    <xf numFmtId="9" fontId="30" fillId="17" borderId="34" xfId="0" applyNumberFormat="1" applyFont="1" applyFill="1" applyBorder="1" applyAlignment="1">
      <alignment horizontal="center"/>
    </xf>
    <xf numFmtId="0" fontId="38" fillId="21" borderId="33" xfId="0" applyFont="1" applyFill="1" applyBorder="1" applyAlignment="1">
      <alignment horizontal="center"/>
    </xf>
    <xf numFmtId="0" fontId="30" fillId="17" borderId="34" xfId="0" applyFont="1" applyFill="1" applyBorder="1" applyAlignment="1">
      <alignment horizontal="center"/>
    </xf>
    <xf numFmtId="0" fontId="0" fillId="17" borderId="0" xfId="0" applyFill="1"/>
    <xf numFmtId="0" fontId="32" fillId="17" borderId="0" xfId="0" applyFont="1" applyFill="1" applyAlignment="1">
      <alignment horizontal="center"/>
    </xf>
    <xf numFmtId="0" fontId="33" fillId="17" borderId="0" xfId="0" applyFont="1" applyFill="1" applyAlignment="1">
      <alignment horizontal="center"/>
    </xf>
    <xf numFmtId="0" fontId="34" fillId="17" borderId="0" xfId="0" applyFont="1" applyFill="1" applyAlignment="1">
      <alignment horizontal="center"/>
    </xf>
    <xf numFmtId="1" fontId="33" fillId="17" borderId="0" xfId="0" applyNumberFormat="1" applyFont="1" applyFill="1" applyAlignment="1">
      <alignment horizontal="center"/>
    </xf>
    <xf numFmtId="9" fontId="33" fillId="17" borderId="0" xfId="0" applyNumberFormat="1" applyFont="1" applyFill="1" applyAlignment="1">
      <alignment horizontal="center"/>
    </xf>
    <xf numFmtId="0" fontId="39" fillId="22" borderId="0" xfId="0" applyFont="1" applyFill="1"/>
    <xf numFmtId="0" fontId="40" fillId="22" borderId="0" xfId="0" applyFont="1" applyFill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8" borderId="0" xfId="0" applyFont="1" applyFill="1"/>
    <xf numFmtId="0" fontId="0" fillId="8" borderId="0" xfId="0" applyFill="1"/>
    <xf numFmtId="0" fontId="43" fillId="24" borderId="0" xfId="0" applyFont="1" applyFill="1"/>
    <xf numFmtId="0" fontId="45" fillId="0" borderId="0" xfId="0" applyFont="1"/>
    <xf numFmtId="0" fontId="46" fillId="23" borderId="0" xfId="0" applyFont="1" applyFill="1"/>
    <xf numFmtId="9" fontId="46" fillId="23" borderId="0" xfId="0" applyNumberFormat="1" applyFont="1" applyFill="1"/>
    <xf numFmtId="0" fontId="43" fillId="25" borderId="0" xfId="0" applyFont="1" applyFill="1"/>
    <xf numFmtId="0" fontId="0" fillId="25" borderId="0" xfId="0" applyFill="1"/>
    <xf numFmtId="9" fontId="0" fillId="0" borderId="0" xfId="0" applyNumberFormat="1"/>
    <xf numFmtId="0" fontId="47" fillId="0" borderId="0" xfId="0" applyFont="1"/>
    <xf numFmtId="9" fontId="43" fillId="0" borderId="0" xfId="0" applyNumberFormat="1" applyFont="1"/>
    <xf numFmtId="0" fontId="45" fillId="23" borderId="0" xfId="0" applyFont="1" applyFill="1"/>
    <xf numFmtId="9" fontId="45" fillId="23" borderId="0" xfId="0" applyNumberFormat="1" applyFont="1" applyFill="1"/>
    <xf numFmtId="170" fontId="0" fillId="0" borderId="0" xfId="0" applyNumberFormat="1"/>
    <xf numFmtId="9" fontId="0" fillId="25" borderId="0" xfId="0" applyNumberFormat="1" applyFill="1"/>
    <xf numFmtId="0" fontId="48" fillId="0" borderId="0" xfId="0" applyFont="1"/>
    <xf numFmtId="0" fontId="49" fillId="25" borderId="0" xfId="0" applyFont="1" applyFill="1"/>
    <xf numFmtId="0" fontId="49" fillId="0" borderId="0" xfId="0" applyFont="1"/>
    <xf numFmtId="9" fontId="43" fillId="25" borderId="0" xfId="0" applyNumberFormat="1" applyFont="1" applyFill="1"/>
    <xf numFmtId="0" fontId="48" fillId="8" borderId="0" xfId="0" applyFont="1" applyFill="1"/>
    <xf numFmtId="0" fontId="49" fillId="24" borderId="0" xfId="0" applyFont="1" applyFill="1"/>
    <xf numFmtId="0" fontId="50" fillId="0" borderId="0" xfId="0" applyFont="1"/>
    <xf numFmtId="171" fontId="0" fillId="0" borderId="0" xfId="0" applyNumberFormat="1"/>
    <xf numFmtId="171" fontId="43" fillId="25" borderId="0" xfId="0" applyNumberFormat="1" applyFont="1" applyFill="1"/>
    <xf numFmtId="0" fontId="0" fillId="24" borderId="0" xfId="0" applyFill="1"/>
    <xf numFmtId="0" fontId="51" fillId="24" borderId="0" xfId="0" applyFont="1" applyFill="1"/>
    <xf numFmtId="3" fontId="53" fillId="0" borderId="0" xfId="0" applyNumberFormat="1" applyFont="1"/>
    <xf numFmtId="0" fontId="54" fillId="0" borderId="0" xfId="0" applyFont="1"/>
    <xf numFmtId="3" fontId="52" fillId="0" borderId="0" xfId="0" applyNumberFormat="1" applyFont="1"/>
    <xf numFmtId="9" fontId="53" fillId="0" borderId="0" xfId="0" applyNumberFormat="1" applyFont="1"/>
    <xf numFmtId="171" fontId="50" fillId="0" borderId="0" xfId="0" applyNumberFormat="1" applyFont="1"/>
    <xf numFmtId="3" fontId="50" fillId="0" borderId="0" xfId="0" applyNumberFormat="1" applyFont="1"/>
    <xf numFmtId="3" fontId="43" fillId="25" borderId="0" xfId="0" applyNumberFormat="1" applyFont="1" applyFill="1"/>
    <xf numFmtId="14" fontId="0" fillId="0" borderId="0" xfId="0" applyNumberFormat="1"/>
    <xf numFmtId="165" fontId="46" fillId="23" borderId="0" xfId="0" applyNumberFormat="1" applyFont="1" applyFill="1"/>
    <xf numFmtId="166" fontId="55" fillId="24" borderId="0" xfId="0" applyNumberFormat="1" applyFont="1" applyFill="1"/>
    <xf numFmtId="9" fontId="56" fillId="0" borderId="0" xfId="0" applyNumberFormat="1" applyFont="1" applyAlignment="1">
      <alignment horizontal="center"/>
    </xf>
    <xf numFmtId="0" fontId="51" fillId="0" borderId="0" xfId="0" applyFont="1"/>
    <xf numFmtId="49" fontId="54" fillId="0" borderId="0" xfId="0" applyNumberFormat="1" applyFont="1"/>
    <xf numFmtId="0" fontId="57" fillId="0" borderId="0" xfId="0" applyFont="1"/>
    <xf numFmtId="0" fontId="58" fillId="0" borderId="0" xfId="0" applyFont="1"/>
    <xf numFmtId="0" fontId="0" fillId="0" borderId="0" xfId="0" applyAlignment="1">
      <alignment wrapText="1"/>
    </xf>
    <xf numFmtId="0" fontId="59" fillId="0" borderId="0" xfId="0" applyFont="1" applyAlignment="1">
      <alignment wrapText="1"/>
    </xf>
    <xf numFmtId="0" fontId="60" fillId="0" borderId="0" xfId="0" applyFont="1"/>
    <xf numFmtId="0" fontId="59" fillId="0" borderId="0" xfId="0" applyFont="1"/>
    <xf numFmtId="0" fontId="61" fillId="26" borderId="31" xfId="0" applyFont="1" applyFill="1" applyBorder="1"/>
    <xf numFmtId="0" fontId="59" fillId="26" borderId="31" xfId="0" applyFont="1" applyFill="1" applyBorder="1" applyAlignment="1">
      <alignment wrapText="1"/>
    </xf>
    <xf numFmtId="0" fontId="62" fillId="0" borderId="32" xfId="0" applyFont="1" applyBorder="1"/>
    <xf numFmtId="0" fontId="63" fillId="0" borderId="32" xfId="0" applyFont="1" applyBorder="1"/>
    <xf numFmtId="0" fontId="38" fillId="26" borderId="32" xfId="0" applyFont="1" applyFill="1" applyBorder="1"/>
    <xf numFmtId="0" fontId="65" fillId="0" borderId="32" xfId="0" applyFont="1" applyBorder="1"/>
    <xf numFmtId="0" fontId="38" fillId="11" borderId="32" xfId="0" applyFont="1" applyFill="1" applyBorder="1"/>
    <xf numFmtId="0" fontId="66" fillId="10" borderId="32" xfId="0" applyFont="1" applyFill="1" applyBorder="1"/>
    <xf numFmtId="0" fontId="38" fillId="9" borderId="32" xfId="0" applyFont="1" applyFill="1" applyBorder="1"/>
    <xf numFmtId="0" fontId="64" fillId="0" borderId="32" xfId="0" applyFont="1" applyBorder="1"/>
    <xf numFmtId="0" fontId="63" fillId="0" borderId="33" xfId="0" applyFont="1" applyBorder="1"/>
    <xf numFmtId="0" fontId="29" fillId="0" borderId="32" xfId="0" applyFont="1" applyBorder="1" applyAlignment="1">
      <alignment wrapText="1"/>
    </xf>
    <xf numFmtId="0" fontId="29" fillId="26" borderId="32" xfId="0" applyFont="1" applyFill="1" applyBorder="1" applyAlignment="1">
      <alignment wrapText="1"/>
    </xf>
    <xf numFmtId="0" fontId="31" fillId="0" borderId="32" xfId="0" applyFont="1" applyBorder="1" applyAlignment="1">
      <alignment wrapText="1"/>
    </xf>
    <xf numFmtId="0" fontId="29" fillId="0" borderId="33" xfId="0" applyFont="1" applyBorder="1" applyAlignment="1">
      <alignment wrapText="1"/>
    </xf>
    <xf numFmtId="165" fontId="0" fillId="0" borderId="0" xfId="0" applyNumberFormat="1"/>
    <xf numFmtId="0" fontId="67" fillId="14" borderId="0" xfId="0" applyFont="1" applyFill="1"/>
    <xf numFmtId="0" fontId="68" fillId="0" borderId="0" xfId="0" applyFont="1"/>
    <xf numFmtId="165" fontId="0" fillId="27" borderId="0" xfId="0" applyNumberFormat="1" applyFill="1"/>
    <xf numFmtId="166" fontId="55" fillId="24" borderId="0" xfId="0" applyNumberFormat="1" applyFont="1" applyFill="1" applyAlignment="1">
      <alignment horizontal="center"/>
    </xf>
    <xf numFmtId="0" fontId="0" fillId="27" borderId="0" xfId="0" applyFill="1"/>
    <xf numFmtId="0" fontId="69" fillId="0" borderId="0" xfId="0" applyFont="1"/>
    <xf numFmtId="0" fontId="70" fillId="0" borderId="0" xfId="0" applyFont="1"/>
    <xf numFmtId="0" fontId="71" fillId="26" borderId="0" xfId="0" applyFont="1" applyFill="1"/>
    <xf numFmtId="166" fontId="51" fillId="24" borderId="0" xfId="0" applyNumberFormat="1" applyFont="1" applyFill="1" applyAlignment="1">
      <alignment horizontal="center"/>
    </xf>
    <xf numFmtId="0" fontId="72" fillId="0" borderId="0" xfId="0" applyFont="1" applyAlignment="1">
      <alignment horizontal="center"/>
    </xf>
    <xf numFmtId="0" fontId="67" fillId="28" borderId="0" xfId="0" applyFont="1" applyFill="1"/>
    <xf numFmtId="0" fontId="0" fillId="29" borderId="0" xfId="0" applyFill="1"/>
    <xf numFmtId="0" fontId="43" fillId="24" borderId="0" xfId="0" applyFont="1" applyFill="1" applyAlignment="1">
      <alignment wrapText="1"/>
    </xf>
    <xf numFmtId="0" fontId="68" fillId="27" borderId="0" xfId="0" applyFont="1" applyFill="1" applyAlignment="1">
      <alignment wrapText="1"/>
    </xf>
    <xf numFmtId="0" fontId="73" fillId="0" borderId="32" xfId="0" applyFont="1" applyBorder="1"/>
    <xf numFmtId="0" fontId="63" fillId="0" borderId="31" xfId="0" applyFont="1" applyBorder="1"/>
    <xf numFmtId="0" fontId="29" fillId="0" borderId="31" xfId="0" applyFont="1" applyBorder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0" fontId="41" fillId="0" borderId="0" xfId="0" applyFont="1" applyAlignment="1">
      <alignment vertical="top"/>
    </xf>
    <xf numFmtId="0" fontId="74" fillId="0" borderId="0" xfId="0" applyFont="1" applyAlignment="1">
      <alignment vertical="top"/>
    </xf>
    <xf numFmtId="0" fontId="43" fillId="0" borderId="0" xfId="0" applyFont="1" applyAlignment="1">
      <alignment vertical="top"/>
    </xf>
    <xf numFmtId="0" fontId="75" fillId="8" borderId="0" xfId="0" applyFont="1" applyFill="1" applyAlignment="1">
      <alignment vertical="top"/>
    </xf>
    <xf numFmtId="0" fontId="75" fillId="8" borderId="0" xfId="0" applyFont="1" applyFill="1" applyAlignment="1">
      <alignment vertical="top" wrapText="1"/>
    </xf>
    <xf numFmtId="0" fontId="76" fillId="30" borderId="0" xfId="0" applyFont="1" applyFill="1" applyAlignment="1">
      <alignment vertical="top"/>
    </xf>
    <xf numFmtId="0" fontId="76" fillId="30" borderId="0" xfId="0" applyFont="1" applyFill="1" applyAlignment="1">
      <alignment vertical="top" wrapText="1"/>
    </xf>
    <xf numFmtId="0" fontId="2" fillId="3" borderId="0" xfId="0" applyFont="1" applyFill="1" applyAlignment="1" applyProtection="1">
      <alignment horizontal="center" vertical="center" wrapText="1"/>
      <protection locked="0"/>
    </xf>
    <xf numFmtId="0" fontId="2" fillId="3" borderId="15" xfId="0" applyFont="1" applyFill="1" applyBorder="1" applyAlignment="1" applyProtection="1">
      <alignment horizontal="center" vertical="center" wrapText="1"/>
      <protection locked="0"/>
    </xf>
    <xf numFmtId="0" fontId="2" fillId="3" borderId="19" xfId="0" applyFont="1" applyFill="1" applyBorder="1" applyAlignment="1" applyProtection="1">
      <alignment horizontal="center" vertical="center" wrapText="1"/>
      <protection locked="0"/>
    </xf>
    <xf numFmtId="0" fontId="2" fillId="3" borderId="8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protection locked="0"/>
    </xf>
  </cellXfs>
  <cellStyles count="1">
    <cellStyle name="Normal" xfId="0" builtinId="0"/>
  </cellStyles>
  <dxfs count="57">
    <dxf>
      <font>
        <color rgb="FFA9D18E"/>
      </font>
      <fill>
        <patternFill patternType="solid">
          <fgColor indexed="64"/>
          <bgColor rgb="FFE2EFDA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4444"/>
      </font>
      <fill>
        <patternFill patternType="solid">
          <fgColor indexed="64"/>
          <bgColor rgb="FFFF4444"/>
        </patternFill>
      </fill>
    </dxf>
    <dxf>
      <font>
        <color rgb="FFFF4444"/>
      </font>
      <fill>
        <patternFill patternType="solid">
          <fgColor indexed="64"/>
          <bgColor rgb="FFFF4444"/>
        </patternFill>
      </fill>
    </dxf>
    <dxf>
      <font>
        <color rgb="FFFF4444"/>
      </font>
      <fill>
        <patternFill patternType="solid">
          <fgColor indexed="64"/>
          <bgColor rgb="FFFF4444"/>
        </patternFill>
      </fill>
    </dxf>
    <dxf>
      <font>
        <color rgb="FFA9D18E"/>
      </font>
      <fill>
        <patternFill patternType="solid">
          <fgColor indexed="64"/>
          <bgColor rgb="FFE2EFDA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4472C4"/>
      </font>
      <fill>
        <patternFill patternType="solid">
          <fgColor indexed="64"/>
          <bgColor rgb="FF4472C4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D966"/>
      </font>
      <fill>
        <patternFill patternType="solid">
          <fgColor indexed="64"/>
          <bgColor rgb="FFFFD966"/>
        </patternFill>
      </fill>
    </dxf>
    <dxf>
      <font>
        <color rgb="FFFF4444"/>
      </font>
      <fill>
        <patternFill patternType="solid">
          <fgColor indexed="64"/>
          <bgColor rgb="FFFF4444"/>
        </patternFill>
      </fill>
    </dxf>
    <dxf>
      <font>
        <color rgb="FFFF4444"/>
      </font>
      <fill>
        <patternFill patternType="solid">
          <fgColor indexed="64"/>
          <bgColor rgb="FFFF4444"/>
        </patternFill>
      </fill>
    </dxf>
    <dxf>
      <font>
        <color rgb="FFFF4444"/>
      </font>
      <fill>
        <patternFill patternType="solid">
          <fgColor indexed="64"/>
          <bgColor rgb="FFFF4444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FF0000"/>
      </font>
    </dxf>
    <dxf>
      <font>
        <color rgb="FF0061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D700"/>
        </patternFill>
      </fill>
    </dxf>
    <dxf>
      <font>
        <color rgb="FFFFFFFF"/>
      </font>
      <fill>
        <patternFill patternType="solid">
          <fgColor indexed="64"/>
          <bgColor rgb="FFFF4444"/>
        </patternFill>
      </fill>
    </dxf>
    <dxf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70AD47"/>
        </patternFill>
      </fill>
    </dxf>
    <dxf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BDD7EE"/>
        </patternFill>
      </fill>
    </dxf>
    <dxf>
      <fill>
        <patternFill patternType="solid">
          <fgColor indexed="64"/>
          <bgColor rgb="FF70AD47"/>
        </patternFill>
      </fill>
    </dxf>
    <dxf>
      <fill>
        <patternFill patternType="solid">
          <fgColor indexed="64"/>
          <bgColor rgb="FFFFC000"/>
        </patternFill>
      </fill>
    </dxf>
    <dxf>
      <font>
        <color rgb="FFFFFFFF"/>
      </font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4B183"/>
        </patternFill>
      </fill>
    </dxf>
    <dxf>
      <fill>
        <patternFill patternType="solid">
          <fgColor indexed="64"/>
          <bgColor rgb="FFED7D31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4472C4"/>
        </patternFill>
      </fill>
    </dxf>
    <dxf>
      <fill>
        <patternFill patternType="solid">
          <fgColor indexed="64"/>
          <bgColor rgb="FF70AD47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80808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228B22"/>
      <rgbColor rgb="FF000080"/>
      <rgbColor rgb="FF9C6500"/>
      <rgbColor rgb="FF800080"/>
      <rgbColor rgb="FF008080"/>
      <rgbColor rgb="FFD0D0D0"/>
      <rgbColor rgb="FF808080"/>
      <rgbColor rgb="FFA5A5A5"/>
      <rgbColor rgb="FFB22222"/>
      <rgbColor rgb="FFF2F2F2"/>
      <rgbColor rgb="FFD6E4F0"/>
      <rgbColor rgb="FF660066"/>
      <rgbColor rgb="FFDAA520"/>
      <rgbColor rgb="FF0066CC"/>
      <rgbColor rgb="FFBDD7EE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CCFFFF"/>
      <rgbColor rgb="FFC6EFCE"/>
      <rgbColor rgb="FFFFEB9C"/>
      <rgbColor rgb="FFA9D18E"/>
      <rgbColor rgb="FFF4B084"/>
      <rgbColor rgb="FFCC99FF"/>
      <rgbColor rgb="FFFFC7CE"/>
      <rgbColor rgb="FF4472C4"/>
      <rgbColor rgb="FF33CCCC"/>
      <rgbColor rgb="FF70AD47"/>
      <rgbColor rgb="FFFFC000"/>
      <rgbColor rgb="FFFF8C00"/>
      <rgbColor rgb="FFFF6600"/>
      <rgbColor rgb="FF666666"/>
      <rgbColor rgb="FF999999"/>
      <rgbColor rgb="FF003366"/>
      <rgbColor rgb="FF2E8B57"/>
      <rgbColor rgb="FF003300"/>
      <rgbColor rgb="FF333300"/>
      <rgbColor rgb="FF8B4513"/>
      <rgbColor rgb="FF993366"/>
      <rgbColor rgb="FF2D4A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ett Anderson" id="{8FE672F6-F0EC-4C4F-A3FE-B0AA9C33C016}" userId="S::banderson@etereman.com::25e248f9-bc6d-4ba8-83de-42952471a64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5" dT="2026-03-25T21:42:40.15" personId="{8FE672F6-F0EC-4C4F-A3FE-B0AA9C33C016}" id="{D6CE7683-F95D-4278-956D-32EB67859FD7}">
    <text>EARLIEST START: Finds the first week (on or after the Planning Start Date in B2) where ALL required roles marked "Yes" have available hours ≥ the Hrs/Wk Needed (column K).
Checks up to 6 roles: BA, Functional, Technical, Developer, Infrastructure, DBA.
Available hours per role come from the availability section above, which calculates: each person's weekly capacity minus their committed hours from active projects in the Project Portfolio.
If no week within the 26-week window has enough capacity for all required roles, the cell will be blank.</text>
  </threadedComment>
  <threadedComment ref="M15" dT="2026-03-25T21:07:31.84" personId="{8FE672F6-F0EC-4C4F-A3FE-B0AA9C33C016}" id="{AB6777D6-7B5F-43CF-A22C-24968020B63A}">
    <text>PROJECTED END: Calculated as:
  Earliest Start + (Est. Hours ÷ Hrs/Wk Needed) × 7 days
This assumes a steady weekly effort at the rate specified in column I. For example, a 240-hour project at 20 hrs/wk = 12 weeks → end date is 12 weeks after the start date.
Note: This is a straight-line estimate. It does not account for capacity fluctuations across weeks — if a resource becomes unavailable mid-project, the actual end date may shift.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  <wetp:taskpane dockstate="right" visibility="1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472CF45-8D21-4462-A2AA-2C591AE3877A}">
  <we:reference id="WA200009404" version="1.0.0.8" store="en-us" storeType="omex"/>
  <we:alternateReferences>
    <we:reference id="WA200009404" version="1.0.0.8" store="en-us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EECC18EB-4A3A-475E-A9E9-0487C301582F}">
  <we:reference id="WA200000556" version="1.1.0.0" store="en-us" storeType="omex"/>
  <we:alternateReferences>
    <we:reference id="WA200000556" version="1.1.0.0" store="en-us" storeType="omex"/>
  </we:alternateReferences>
  <we:properties>
    <we:property name="documentId" value="&quot;c4f9903b-348c-4c41-acc6-ac1aa4a8e67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O25"/>
  <sheetViews>
    <sheetView showGridLines="0" topLeftCell="A5" zoomScaleNormal="100" workbookViewId="0">
      <selection activeCell="O25" sqref="O25"/>
    </sheetView>
  </sheetViews>
  <sheetFormatPr defaultColWidth="8.7109375" defaultRowHeight="15" customHeight="1"/>
  <cols>
    <col min="1" max="1" width="1.5703125" customWidth="1"/>
    <col min="2" max="2" width="25.7109375" customWidth="1"/>
    <col min="3" max="4" width="14.85546875" customWidth="1"/>
    <col min="5" max="5" width="17.140625" customWidth="1"/>
    <col min="6" max="6" width="15.5703125" customWidth="1"/>
    <col min="7" max="7" width="16.7109375" customWidth="1"/>
    <col min="8" max="9" width="13.7109375" customWidth="1"/>
    <col min="10" max="10" width="15.28515625" customWidth="1"/>
    <col min="11" max="13" width="14" customWidth="1"/>
    <col min="14" max="14" width="2" customWidth="1"/>
  </cols>
  <sheetData>
    <row r="1" spans="1:15" ht="27.75" customHeight="1">
      <c r="A1" s="172" t="s">
        <v>0</v>
      </c>
      <c r="B1" s="173"/>
      <c r="C1" s="173"/>
      <c r="D1" s="173"/>
      <c r="E1" s="173"/>
      <c r="F1" s="140"/>
      <c r="G1" s="140"/>
      <c r="H1" s="140"/>
      <c r="I1" s="140"/>
      <c r="J1" s="140"/>
      <c r="K1" s="140"/>
      <c r="L1" s="140"/>
      <c r="M1" s="140"/>
      <c r="N1" s="140"/>
    </row>
    <row r="2" spans="1:15" ht="8.25" customHeight="1">
      <c r="A2" s="140"/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</row>
    <row r="3" spans="1:15" ht="18" customHeight="1">
      <c r="A3" s="140"/>
      <c r="B3" s="167" t="s">
        <v>1</v>
      </c>
      <c r="C3" s="166"/>
      <c r="D3" s="166"/>
      <c r="E3" s="167" t="s">
        <v>2</v>
      </c>
      <c r="F3" s="166"/>
      <c r="G3" s="166"/>
      <c r="H3" s="167" t="s">
        <v>3</v>
      </c>
      <c r="I3" s="166"/>
      <c r="J3" s="166"/>
      <c r="K3" s="140"/>
      <c r="L3" s="140" t="s">
        <v>4</v>
      </c>
      <c r="M3" s="140"/>
      <c r="N3" s="140"/>
      <c r="O3" t="s">
        <v>5</v>
      </c>
    </row>
    <row r="4" spans="1:15" ht="33.75" customHeight="1">
      <c r="A4" s="140"/>
      <c r="B4" s="168">
        <f>COUNTA('Team Roster'!A4:A26)</f>
        <v>23</v>
      </c>
      <c r="C4" s="166"/>
      <c r="D4" s="166"/>
      <c r="E4" s="170">
        <f>'Team Roster'!K27</f>
        <v>438.74</v>
      </c>
      <c r="F4" s="166"/>
      <c r="G4" s="166"/>
      <c r="H4" s="171">
        <f>I15</f>
        <v>0.1051580033684915</v>
      </c>
      <c r="I4" s="166"/>
      <c r="J4" s="166"/>
      <c r="K4" s="140"/>
      <c r="L4" s="140" t="s">
        <v>6</v>
      </c>
      <c r="M4" s="140"/>
      <c r="N4" s="140"/>
    </row>
    <row r="5" spans="1:15" ht="15.75" customHeight="1">
      <c r="A5" s="140"/>
      <c r="B5" s="169" t="s">
        <v>7</v>
      </c>
      <c r="C5" s="166"/>
      <c r="D5" s="166"/>
      <c r="E5" s="169" t="s">
        <v>8</v>
      </c>
      <c r="F5" s="166"/>
      <c r="G5" s="166"/>
      <c r="H5" s="169" t="s">
        <v>9</v>
      </c>
      <c r="I5" s="166"/>
      <c r="J5" s="166"/>
      <c r="K5" s="140"/>
      <c r="L5" s="140"/>
      <c r="M5" s="140"/>
      <c r="N5" s="140"/>
    </row>
    <row r="6" spans="1:15" ht="12" customHeight="1">
      <c r="A6" s="140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 t="s">
        <v>10</v>
      </c>
      <c r="M6" s="140"/>
      <c r="N6" s="140"/>
    </row>
    <row r="7" spans="1:15" ht="24" customHeight="1">
      <c r="A7" s="140"/>
      <c r="B7" s="141" t="s">
        <v>11</v>
      </c>
      <c r="C7" s="141"/>
      <c r="D7" s="141"/>
      <c r="E7" s="141"/>
      <c r="F7" s="141"/>
      <c r="G7" s="141"/>
      <c r="H7" s="141"/>
      <c r="I7" s="141"/>
      <c r="J7" s="141"/>
      <c r="K7" s="140"/>
      <c r="L7" s="140"/>
      <c r="M7" s="140"/>
      <c r="N7" s="140"/>
    </row>
    <row r="8" spans="1:15" ht="21.75" customHeight="1">
      <c r="A8" s="140"/>
      <c r="B8" s="145" t="s">
        <v>12</v>
      </c>
      <c r="C8" s="145" t="s">
        <v>13</v>
      </c>
      <c r="D8" s="145" t="s">
        <v>14</v>
      </c>
      <c r="E8" s="145" t="s">
        <v>15</v>
      </c>
      <c r="F8" s="145" t="s">
        <v>16</v>
      </c>
      <c r="G8" s="145" t="s">
        <v>17</v>
      </c>
      <c r="H8" s="145" t="s">
        <v>18</v>
      </c>
      <c r="I8" s="145" t="s">
        <v>19</v>
      </c>
      <c r="J8" s="142"/>
      <c r="K8" s="140"/>
      <c r="L8" s="140" t="s">
        <v>20</v>
      </c>
      <c r="M8" s="140"/>
      <c r="N8" s="140"/>
    </row>
    <row r="9" spans="1:15" ht="15" customHeight="1">
      <c r="A9" s="140"/>
      <c r="B9" s="146" t="s">
        <v>21</v>
      </c>
      <c r="C9" s="147">
        <f>COUNTIF('Team Roster'!$C$4:$C$26,"ERP")</f>
        <v>8</v>
      </c>
      <c r="D9" s="147">
        <f>SUMIF('Team Roster'!$C$4:$C$26,"ERP",'Team Roster'!$G$4:$G$26)</f>
        <v>280</v>
      </c>
      <c r="E9" s="147">
        <f>SUMIF('Team Roster'!$C$4:$C$26,"ERP",'Team Roster'!$J$4:$J$26)</f>
        <v>105</v>
      </c>
      <c r="F9" s="147">
        <f>SUMIF('Team Roster'!$C$4:$C$26,"ERP",'Team Roster'!$K$4:$K$26)</f>
        <v>175</v>
      </c>
      <c r="G9" s="148" cm="1">
        <f t="array" ref="G9">IFERROR(SUMPRODUCT(('Capacity Heatmap'!$C$5:$C$26="Synnergie")*(MMULT(IF('Capacity Heatmap'!$E$5:$AD$26&gt;0,'Capacity Heatmap'!$E$5:$AD$26,0),_xlfn.SEQUENCE(26,1,1,0))/IF(MMULT(IF('Capacity Heatmap'!$E$5:$AD$26&gt;0,1,0),_xlfn.SEQUENCE(26,1,1,0))&gt;0,MMULT(IF('Capacity Heatmap'!$E$5:$AD$26&gt;0,1,0),_xlfn.SEQUENCE(26,1,1,0)),1))*'Capacity Heatmap'!$D$5:$D$26),0)</f>
        <v>13.499999999999998</v>
      </c>
      <c r="H9" s="147">
        <f>F9-G9</f>
        <v>161.5</v>
      </c>
      <c r="I9" s="149">
        <f>IF(F9&gt;0,G9/F9,0)</f>
        <v>7.7142857142857138E-2</v>
      </c>
      <c r="J9" s="143"/>
      <c r="K9" s="140"/>
      <c r="L9" s="140" t="s">
        <v>22</v>
      </c>
      <c r="M9" s="140"/>
      <c r="N9" s="140"/>
    </row>
    <row r="10" spans="1:15" ht="15" customHeight="1">
      <c r="A10" s="140"/>
      <c r="B10" s="150" t="s">
        <v>23</v>
      </c>
      <c r="C10" s="151">
        <f>COUNTIF('Team Roster'!$C$4:$C$26,"Systems Applications")</f>
        <v>4</v>
      </c>
      <c r="D10" s="151">
        <f>SUMIF('Team Roster'!$C$4:$C$26,"Systems Applications",'Team Roster'!$G$4:$G$26)</f>
        <v>100</v>
      </c>
      <c r="E10" s="151">
        <f>SUMIF('Team Roster'!$C$4:$C$26,"Systems Applications",'Team Roster'!$J$4:$J$26)</f>
        <v>31.25</v>
      </c>
      <c r="F10" s="151">
        <f>SUMIF('Team Roster'!$C$4:$C$26,"Systems Applications",'Team Roster'!$K$4:$K$26)</f>
        <v>68.75</v>
      </c>
      <c r="G10" s="152" cm="1">
        <f t="array" ref="G10">IFERROR(SUMPRODUCT(('Capacity Heatmap'!$C$5:$C$26="Systems Applications")*(MMULT(IF('Capacity Heatmap'!$E$5:$AD$26&gt;0,'Capacity Heatmap'!$E$5:$AD$26,0),_xlfn.SEQUENCE(26,1,1,0))/IF(MMULT(IF('Capacity Heatmap'!$E$5:$AD$26&gt;0,1,0),_xlfn.SEQUENCE(26,1,1,0))&gt;0,MMULT(IF('Capacity Heatmap'!$E$5:$AD$26&gt;0,1,0),_xlfn.SEQUENCE(26,1,1,0)),1))*'Capacity Heatmap'!$D$5:$D$26),0)</f>
        <v>20.869565217391308</v>
      </c>
      <c r="H10" s="151">
        <f>F10-G10</f>
        <v>47.880434782608688</v>
      </c>
      <c r="I10" s="153">
        <f>IF(F10&gt;0,G10/F10,0)</f>
        <v>0.30355731225296451</v>
      </c>
      <c r="J10" s="144"/>
      <c r="K10" s="140"/>
      <c r="L10" s="140" t="s">
        <v>24</v>
      </c>
      <c r="M10" s="140"/>
      <c r="N10" s="140"/>
    </row>
    <row r="11" spans="1:15" ht="15" customHeight="1">
      <c r="A11" s="140"/>
      <c r="B11" s="146" t="s">
        <v>25</v>
      </c>
      <c r="C11" s="147">
        <f>COUNTIF('Team Roster'!$C$4:$C$26,"Business Analysts")</f>
        <v>4</v>
      </c>
      <c r="D11" s="147">
        <f>SUMIF('Team Roster'!$C$4:$C$26,"Business Analysts",'Team Roster'!$G$4:$G$26)</f>
        <v>145</v>
      </c>
      <c r="E11" s="147">
        <f>SUMIF('Team Roster'!$C$4:$C$26,"Business Analysts",'Team Roster'!$J$4:$J$26)</f>
        <v>66</v>
      </c>
      <c r="F11" s="147">
        <f>SUMIF('Team Roster'!$C$4:$C$26,"Business Analysts",'Team Roster'!$K$4:$K$26)</f>
        <v>79</v>
      </c>
      <c r="G11" s="148" cm="1">
        <f t="array" ref="G11">IFERROR(SUMPRODUCT(('Capacity Heatmap'!$C$5:$C$26="Business Analysts")*(MMULT(IF('Capacity Heatmap'!$E$5:$AD$26&gt;0,'Capacity Heatmap'!$E$5:$AD$26,0),_xlfn.SEQUENCE(26,1,1,0))/IF(MMULT(IF('Capacity Heatmap'!$E$5:$AD$26&gt;0,1,0),_xlfn.SEQUENCE(26,1,1,0))&gt;0,MMULT(IF('Capacity Heatmap'!$E$5:$AD$26&gt;0,1,0),_xlfn.SEQUENCE(26,1,1,0)),1))*'Capacity Heatmap'!$D$5:$D$26),0)</f>
        <v>8.7674571805006583</v>
      </c>
      <c r="H11" s="147">
        <f>F11-G11</f>
        <v>70.232542819499344</v>
      </c>
      <c r="I11" s="149">
        <f>IF(F11&gt;0,G11/F11,0)</f>
        <v>0.11098047063924883</v>
      </c>
      <c r="J11" s="143"/>
      <c r="K11" s="140"/>
      <c r="L11" s="140"/>
      <c r="M11" s="140"/>
      <c r="N11" s="140"/>
    </row>
    <row r="12" spans="1:15" ht="15" customHeight="1">
      <c r="A12" s="140"/>
      <c r="B12" s="150" t="s">
        <v>26</v>
      </c>
      <c r="C12" s="151">
        <f>COUNTIF('Team Roster'!$C$4:$C$26,"Infrastructure")</f>
        <v>3</v>
      </c>
      <c r="D12" s="151">
        <f>SUMIF('Team Roster'!$C$4:$C$26,"Infrastructure",'Team Roster'!$G$4:$G$26)</f>
        <v>120</v>
      </c>
      <c r="E12" s="151">
        <f>SUMIF('Team Roster'!$C$4:$C$26,"Infrastructure",'Team Roster'!$J$4:$J$26)</f>
        <v>72</v>
      </c>
      <c r="F12" s="151">
        <f>SUMIF('Team Roster'!$C$4:$C$26,"Infrastructure",'Team Roster'!$K$4:$K$26)</f>
        <v>48</v>
      </c>
      <c r="G12" s="152" cm="1">
        <f t="array" ref="G12">IFERROR(SUMPRODUCT(('Capacity Heatmap'!$C$5:$C$26="Infrastructure")*(MMULT(IF('Capacity Heatmap'!$E$5:$AD$26&gt;0,'Capacity Heatmap'!$E$5:$AD$26,0),_xlfn.SEQUENCE(26,1,1,0))/IF(MMULT(IF('Capacity Heatmap'!$E$5:$AD$26&gt;0,1,0),_xlfn.SEQUENCE(26,1,1,0))&gt;0,MMULT(IF('Capacity Heatmap'!$E$5:$AD$26&gt;0,1,0),_xlfn.SEQUENCE(26,1,1,0)),1))*'Capacity Heatmap'!$D$5:$D$26),0)</f>
        <v>0</v>
      </c>
      <c r="H12" s="151">
        <f>F12-G12</f>
        <v>48</v>
      </c>
      <c r="I12" s="153">
        <f>IF(F12&gt;0,G12/F12,0)</f>
        <v>0</v>
      </c>
      <c r="J12" s="144"/>
      <c r="K12" s="140"/>
      <c r="L12" s="140" t="s">
        <v>27</v>
      </c>
      <c r="M12" s="140"/>
      <c r="N12" s="140"/>
    </row>
    <row r="13" spans="1:15" ht="15" customHeight="1">
      <c r="A13" s="140"/>
      <c r="B13" s="146" t="s">
        <v>28</v>
      </c>
      <c r="C13" s="147">
        <f>COUNTIF('Team Roster'!$C$4:$C$26,"WMS")</f>
        <v>1</v>
      </c>
      <c r="D13" s="147">
        <f>SUMIF('Team Roster'!$C$4:$C$26,"WMS",'Team Roster'!$G$4:$G$26)</f>
        <v>35</v>
      </c>
      <c r="E13" s="147">
        <f>SUMIF('Team Roster'!$C$4:$C$26,"WMS",'Team Roster'!$J$4:$J$26)</f>
        <v>21</v>
      </c>
      <c r="F13" s="147">
        <f>SUMIF('Team Roster'!$C$4:$C$26,"WMS",'Team Roster'!$K$4:$K$26)</f>
        <v>14</v>
      </c>
      <c r="G13" s="148" cm="1">
        <f t="array" ref="G13">IFERROR(SUMPRODUCT(('Capacity Heatmap'!$C$5:$C$26="WMS")*(MMULT(IF('Capacity Heatmap'!$E$5:$AD$26&gt;0,'Capacity Heatmap'!$E$5:$AD$26,0),_xlfn.SEQUENCE(26,1,1,0))/IF(MMULT(IF('Capacity Heatmap'!$E$5:$AD$26&gt;0,1,0),_xlfn.SEQUENCE(26,1,1,0))&gt;0,MMULT(IF('Capacity Heatmap'!$E$5:$AD$26&gt;0,1,0),_xlfn.SEQUENCE(26,1,1,0)),1))*'Capacity Heatmap'!$D$5:$D$26),0)</f>
        <v>0</v>
      </c>
      <c r="H13" s="147">
        <f>F13-G13</f>
        <v>14</v>
      </c>
      <c r="I13" s="149">
        <f>IF(F13&gt;0,G13/F13,0)</f>
        <v>0</v>
      </c>
      <c r="J13" s="143"/>
      <c r="K13" s="140"/>
      <c r="L13" s="140"/>
      <c r="M13" s="140"/>
      <c r="N13" s="140"/>
    </row>
    <row r="14" spans="1:15" ht="15" customHeight="1">
      <c r="A14" s="140"/>
      <c r="B14" s="157" t="s">
        <v>29</v>
      </c>
      <c r="C14" s="158">
        <f>COUNTIF('Team Roster'!$C$4:$C$26,"PMO")</f>
        <v>3</v>
      </c>
      <c r="D14" s="158">
        <f>SUMIF('Team Roster'!$C$4:$C$26,"PMO",'Team Roster'!$G$4:$G$26)</f>
        <v>102</v>
      </c>
      <c r="E14" s="158">
        <f>SUMIF('Team Roster'!$C$4:$C$26,"PMO",'Team Roster'!$J$4:$J$26)</f>
        <v>48.010000000000005</v>
      </c>
      <c r="F14" s="158">
        <f>SUMIF('Team Roster'!$C$4:$C$26,"PMO",'Team Roster'!$K$4:$K$26)</f>
        <v>53.989999999999995</v>
      </c>
      <c r="G14" s="159" cm="1">
        <f t="array" ref="G14">IFERROR(SUMPRODUCT(('Capacity Heatmap'!$C$5:$C$26="PMO")*(MMULT(IF('Capacity Heatmap'!$E$5:$AD$26&gt;0,'Capacity Heatmap'!$E$5:$AD$26,0),_xlfn.SEQUENCE(26,1,1,0))/IF(MMULT(IF('Capacity Heatmap'!$E$5:$AD$26&gt;0,1,0),_xlfn.SEQUENCE(26,1,1,0))&gt;0,MMULT(IF('Capacity Heatmap'!$E$5:$AD$26&gt;0,1,0),_xlfn.SEQUENCE(26,1,1,0)),1))*'Capacity Heatmap'!$D$5:$D$26),0)</f>
        <v>2.9999999999999991</v>
      </c>
      <c r="H14" s="158">
        <f>F14-G14</f>
        <v>50.989999999999995</v>
      </c>
      <c r="I14" s="160">
        <f>IF(F14&gt;0,G14/F14,0)</f>
        <v>5.5565845526949424E-2</v>
      </c>
      <c r="J14" s="144"/>
      <c r="K14" s="140"/>
      <c r="L14" s="140" t="s">
        <v>30</v>
      </c>
      <c r="M14" s="140"/>
      <c r="N14" s="140"/>
    </row>
    <row r="15" spans="1:15" ht="15" customHeight="1">
      <c r="A15" s="140"/>
      <c r="B15" s="161" t="s">
        <v>31</v>
      </c>
      <c r="C15" s="162">
        <f>SUM(C9:C14)</f>
        <v>23</v>
      </c>
      <c r="D15" s="162">
        <f>SUM(D9:D14)</f>
        <v>782</v>
      </c>
      <c r="E15" s="162">
        <f>SUM(E9:E14)</f>
        <v>343.26</v>
      </c>
      <c r="F15" s="162">
        <f>SUM(F9:F14)</f>
        <v>438.74</v>
      </c>
      <c r="G15" s="162">
        <f>SUM(G9:G14)</f>
        <v>46.137022397891961</v>
      </c>
      <c r="H15" s="162">
        <f>SUM(H9:H14)</f>
        <v>392.60297760210801</v>
      </c>
      <c r="I15" s="163">
        <f>IF(F15&gt;0,G15/F15,0)</f>
        <v>0.1051580033684915</v>
      </c>
      <c r="J15" s="165"/>
      <c r="K15" s="140"/>
      <c r="L15" s="140"/>
      <c r="M15" s="140"/>
      <c r="N15" s="140"/>
    </row>
    <row r="16" spans="1:15" ht="12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 t="s">
        <v>32</v>
      </c>
      <c r="M16" s="140"/>
      <c r="N16" s="140"/>
    </row>
    <row r="17" spans="1:14" ht="24" customHeight="1">
      <c r="A17" s="140"/>
      <c r="B17" s="141" t="s">
        <v>33</v>
      </c>
      <c r="C17" s="141"/>
      <c r="D17" s="141"/>
      <c r="E17" s="141"/>
      <c r="F17" s="141"/>
      <c r="G17" s="141"/>
      <c r="H17" s="141"/>
      <c r="I17" s="141"/>
      <c r="J17" s="141"/>
      <c r="K17" s="140"/>
      <c r="L17" s="140"/>
      <c r="M17" s="140"/>
      <c r="N17" s="140"/>
    </row>
    <row r="18" spans="1:14" ht="21.75" customHeight="1">
      <c r="A18" s="140"/>
      <c r="B18" s="145" t="s">
        <v>34</v>
      </c>
      <c r="C18" s="145" t="s">
        <v>35</v>
      </c>
      <c r="D18" s="145" t="s">
        <v>36</v>
      </c>
      <c r="E18" s="145" t="s">
        <v>37</v>
      </c>
      <c r="F18" s="145" t="s">
        <v>38</v>
      </c>
      <c r="G18" s="145" t="s">
        <v>39</v>
      </c>
      <c r="H18" s="145" t="s">
        <v>40</v>
      </c>
      <c r="I18" s="145" t="s">
        <v>41</v>
      </c>
      <c r="J18" s="145" t="s">
        <v>42</v>
      </c>
      <c r="K18" s="140"/>
      <c r="L18" s="140" t="s">
        <v>43</v>
      </c>
      <c r="M18" s="140"/>
      <c r="N18" s="140"/>
    </row>
    <row r="19" spans="1:14" ht="15" customHeight="1">
      <c r="A19" s="140"/>
      <c r="B19" s="154" t="s">
        <v>44</v>
      </c>
      <c r="C19" s="155">
        <f>COUNTA('Project Portfolio'!A4:A42)-COUNTBLANK('Project Portfolio'!A4:A42)</f>
        <v>37</v>
      </c>
      <c r="D19" s="155">
        <f>COUNTIF('Project Portfolio'!F4:F42,"✅ COMPLETE")</f>
        <v>16</v>
      </c>
      <c r="E19" s="155">
        <f>COUNTIF('Project Portfolio'!F4:F42,"🟢 ON TRACK")+COUNTIF('Project Portfolio'!F4:F42,"🔵 ON HOLD")</f>
        <v>4</v>
      </c>
      <c r="F19" s="155">
        <f>COUNTIF('Project Portfolio'!F4:F42,"⚪ NOT STARTED")</f>
        <v>2</v>
      </c>
      <c r="G19" s="164">
        <f>COUNTIF('Project Portfolio'!F4:F42,"🟡 AT RISK")+COUNTIF('Project Portfolio'!F4:F42,"🔴 NEEDS ATTENTION")</f>
        <v>0</v>
      </c>
      <c r="H19" s="155">
        <f>COUNTIF('Project Portfolio'!F4:F42,"📋 NEEDS TECHNICAL SPEC")+COUNTIF('Project Portfolio'!F4:F42,"📋 NEEDS FUNCTIONAL SPEC")</f>
        <v>7</v>
      </c>
      <c r="I19" s="155">
        <f>COUNTIF('Project Portfolio'!F4:F42,"⏸️ POSTPONED")+COUNTIF('Project Portfolio'!F4:F42,"⏳ AWAITING APPROVAL")</f>
        <v>9</v>
      </c>
      <c r="J19" s="156">
        <f>IF(C19&gt;0,D19/C19,0)</f>
        <v>0.43243243243243246</v>
      </c>
      <c r="K19" s="140"/>
      <c r="L19" s="140"/>
      <c r="M19" s="140"/>
      <c r="N19" s="140"/>
    </row>
    <row r="20" spans="1:14" ht="15" customHeight="1">
      <c r="L20" t="s">
        <v>45</v>
      </c>
    </row>
    <row r="21" spans="1:14" ht="15" customHeight="1">
      <c r="L21" t="s">
        <v>46</v>
      </c>
    </row>
    <row r="22" spans="1:14" ht="36" customHeight="1">
      <c r="G22" t="s">
        <v>47</v>
      </c>
      <c r="L22" t="s">
        <v>48</v>
      </c>
    </row>
    <row r="23" spans="1:14" ht="36" customHeight="1">
      <c r="G23" t="s">
        <v>49</v>
      </c>
      <c r="L23" t="s">
        <v>50</v>
      </c>
    </row>
    <row r="24" spans="1:14" ht="36" customHeight="1">
      <c r="G24" t="s">
        <v>51</v>
      </c>
    </row>
    <row r="25" spans="1:14" ht="36" customHeight="1"/>
  </sheetData>
  <sheetProtection sheet="1" objects="1" scenarios="1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A"/>
  </sheetPr>
  <dimension ref="A1:K27"/>
  <sheetViews>
    <sheetView zoomScaleNormal="100" workbookViewId="0">
      <pane ySplit="3" topLeftCell="A4" activePane="bottomLeft" state="frozen"/>
      <selection pane="bottomLeft" activeCell="A13" sqref="A13"/>
    </sheetView>
  </sheetViews>
  <sheetFormatPr defaultColWidth="8.7109375" defaultRowHeight="15" customHeight="1"/>
  <cols>
    <col min="1" max="1" width="22" customWidth="1"/>
    <col min="2" max="2" width="16" customWidth="1"/>
    <col min="3" max="3" width="22" customWidth="1"/>
    <col min="4" max="5" width="20.5703125" customWidth="1"/>
    <col min="6" max="6" width="17.7109375" customWidth="1"/>
    <col min="7" max="7" width="18" customWidth="1"/>
    <col min="8" max="8" width="24.85546875" customWidth="1"/>
    <col min="9" max="9" width="24.42578125" customWidth="1"/>
    <col min="10" max="10" width="26.28515625" customWidth="1"/>
    <col min="11" max="11" width="26.140625" customWidth="1"/>
  </cols>
  <sheetData>
    <row r="1" spans="1:11" ht="30" customHeight="1">
      <c r="A1" s="269" t="s">
        <v>52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</row>
    <row r="2" spans="1:11" ht="1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39" customHeight="1">
      <c r="A3" s="4" t="s">
        <v>53</v>
      </c>
      <c r="B3" s="4" t="s">
        <v>54</v>
      </c>
      <c r="C3" s="4" t="s">
        <v>12</v>
      </c>
      <c r="D3" s="5" t="s">
        <v>55</v>
      </c>
      <c r="E3" s="6" t="s">
        <v>56</v>
      </c>
      <c r="F3" s="7" t="s">
        <v>57</v>
      </c>
      <c r="G3" s="4" t="s">
        <v>58</v>
      </c>
      <c r="H3" s="8" t="s">
        <v>59</v>
      </c>
      <c r="I3" s="8" t="s">
        <v>60</v>
      </c>
      <c r="J3" s="8" t="s">
        <v>61</v>
      </c>
      <c r="K3" s="8" t="s">
        <v>62</v>
      </c>
    </row>
    <row r="4" spans="1:11" ht="15" customHeight="1">
      <c r="A4" s="9" t="s">
        <v>63</v>
      </c>
      <c r="B4" s="9" t="s">
        <v>64</v>
      </c>
      <c r="C4" s="9" t="s">
        <v>65</v>
      </c>
      <c r="D4" s="10" t="s">
        <v>66</v>
      </c>
      <c r="E4" s="11" t="s">
        <v>67</v>
      </c>
      <c r="F4" s="12">
        <v>65</v>
      </c>
      <c r="G4" s="10">
        <v>35</v>
      </c>
      <c r="H4" s="13">
        <v>0.4</v>
      </c>
      <c r="I4" s="14">
        <f>1-H4</f>
        <v>0.6</v>
      </c>
      <c r="J4" s="15">
        <f>G4*H4</f>
        <v>14</v>
      </c>
      <c r="K4" s="15">
        <f>G4*I4</f>
        <v>21</v>
      </c>
    </row>
    <row r="5" spans="1:11" ht="15" customHeight="1">
      <c r="A5" s="16" t="s">
        <v>68</v>
      </c>
      <c r="B5" s="16" t="s">
        <v>69</v>
      </c>
      <c r="C5" s="16" t="s">
        <v>65</v>
      </c>
      <c r="D5" s="17" t="s">
        <v>66</v>
      </c>
      <c r="E5" s="18" t="s">
        <v>67</v>
      </c>
      <c r="F5" s="19">
        <v>65</v>
      </c>
      <c r="G5" s="17">
        <v>35</v>
      </c>
      <c r="H5" s="20">
        <v>0.4</v>
      </c>
      <c r="I5" s="21">
        <f t="shared" ref="I5:I25" si="0">1-H5</f>
        <v>0.6</v>
      </c>
      <c r="J5" s="22">
        <f t="shared" ref="J5:J25" si="1">G5*H5</f>
        <v>14</v>
      </c>
      <c r="K5" s="22">
        <f t="shared" ref="K5:K25" si="2">G5*I5</f>
        <v>21</v>
      </c>
    </row>
    <row r="6" spans="1:11" ht="15" customHeight="1">
      <c r="A6" s="9" t="s">
        <v>70</v>
      </c>
      <c r="B6" s="9" t="s">
        <v>69</v>
      </c>
      <c r="C6" s="9" t="s">
        <v>65</v>
      </c>
      <c r="D6" s="10" t="s">
        <v>66</v>
      </c>
      <c r="E6" s="11" t="str">
        <f t="shared" ref="E5:E26" si="3">IF(D6="Synnergie","T&amp;M",IF(D6="Watermark","MSA",IF(D6="ETE","Internal","")))</f>
        <v>T&amp;M</v>
      </c>
      <c r="F6" s="12">
        <v>65</v>
      </c>
      <c r="G6" s="10">
        <v>35</v>
      </c>
      <c r="H6" s="13">
        <v>0.4</v>
      </c>
      <c r="I6" s="14">
        <f t="shared" si="0"/>
        <v>0.6</v>
      </c>
      <c r="J6" s="15">
        <f t="shared" si="1"/>
        <v>14</v>
      </c>
      <c r="K6" s="15">
        <f t="shared" si="2"/>
        <v>21</v>
      </c>
    </row>
    <row r="7" spans="1:11" ht="15" customHeight="1">
      <c r="A7" s="16" t="s">
        <v>71</v>
      </c>
      <c r="B7" s="16" t="s">
        <v>64</v>
      </c>
      <c r="C7" s="16" t="s">
        <v>65</v>
      </c>
      <c r="D7" s="17" t="s">
        <v>66</v>
      </c>
      <c r="E7" s="18" t="str">
        <f t="shared" si="3"/>
        <v>T&amp;M</v>
      </c>
      <c r="F7" s="19">
        <v>65</v>
      </c>
      <c r="G7" s="17">
        <v>35</v>
      </c>
      <c r="H7" s="20">
        <v>0.4</v>
      </c>
      <c r="I7" s="21">
        <f t="shared" si="0"/>
        <v>0.6</v>
      </c>
      <c r="J7" s="22">
        <f t="shared" si="1"/>
        <v>14</v>
      </c>
      <c r="K7" s="22">
        <f t="shared" si="2"/>
        <v>21</v>
      </c>
    </row>
    <row r="8" spans="1:11" ht="15" customHeight="1">
      <c r="A8" s="9" t="s">
        <v>72</v>
      </c>
      <c r="B8" s="9" t="s">
        <v>69</v>
      </c>
      <c r="C8" s="9" t="s">
        <v>65</v>
      </c>
      <c r="D8" s="10" t="s">
        <v>66</v>
      </c>
      <c r="E8" s="11" t="s">
        <v>73</v>
      </c>
      <c r="F8" s="12">
        <v>65</v>
      </c>
      <c r="G8" s="10">
        <v>35</v>
      </c>
      <c r="H8" s="13">
        <v>0</v>
      </c>
      <c r="I8" s="14">
        <f t="shared" si="0"/>
        <v>1</v>
      </c>
      <c r="J8" s="15">
        <f t="shared" si="1"/>
        <v>0</v>
      </c>
      <c r="K8" s="15">
        <f t="shared" si="2"/>
        <v>35</v>
      </c>
    </row>
    <row r="9" spans="1:11" ht="15" customHeight="1">
      <c r="A9" s="16" t="s">
        <v>74</v>
      </c>
      <c r="B9" s="16" t="s">
        <v>69</v>
      </c>
      <c r="C9" s="16" t="s">
        <v>65</v>
      </c>
      <c r="D9" s="17" t="s">
        <v>66</v>
      </c>
      <c r="E9" s="18" t="str">
        <f t="shared" si="3"/>
        <v>T&amp;M</v>
      </c>
      <c r="F9" s="19">
        <v>65</v>
      </c>
      <c r="G9" s="17">
        <v>35</v>
      </c>
      <c r="H9" s="20">
        <v>0</v>
      </c>
      <c r="I9" s="21">
        <f t="shared" si="0"/>
        <v>1</v>
      </c>
      <c r="J9" s="22">
        <f t="shared" si="1"/>
        <v>0</v>
      </c>
      <c r="K9" s="22">
        <f t="shared" si="2"/>
        <v>35</v>
      </c>
    </row>
    <row r="10" spans="1:11" ht="15" customHeight="1">
      <c r="A10" s="9" t="s">
        <v>75</v>
      </c>
      <c r="B10" s="9" t="s">
        <v>69</v>
      </c>
      <c r="C10" s="9" t="s">
        <v>65</v>
      </c>
      <c r="D10" s="10" t="s">
        <v>66</v>
      </c>
      <c r="E10" s="11" t="s">
        <v>67</v>
      </c>
      <c r="F10" s="12">
        <v>65</v>
      </c>
      <c r="G10" s="10">
        <v>35</v>
      </c>
      <c r="H10" s="13">
        <v>0.6</v>
      </c>
      <c r="I10" s="14">
        <f t="shared" si="0"/>
        <v>0.4</v>
      </c>
      <c r="J10" s="15">
        <f t="shared" si="1"/>
        <v>21</v>
      </c>
      <c r="K10" s="15">
        <f t="shared" si="2"/>
        <v>14</v>
      </c>
    </row>
    <row r="11" spans="1:11" ht="15" customHeight="1">
      <c r="A11" s="16" t="s">
        <v>76</v>
      </c>
      <c r="B11" s="16" t="s">
        <v>77</v>
      </c>
      <c r="C11" s="16" t="s">
        <v>65</v>
      </c>
      <c r="D11" s="17" t="s">
        <v>66</v>
      </c>
      <c r="E11" s="18" t="s">
        <v>67</v>
      </c>
      <c r="F11" s="19">
        <v>65</v>
      </c>
      <c r="G11" s="17">
        <v>35</v>
      </c>
      <c r="H11" s="20">
        <v>0.8</v>
      </c>
      <c r="I11" s="21">
        <f t="shared" si="0"/>
        <v>0.19999999999999996</v>
      </c>
      <c r="J11" s="22">
        <f t="shared" si="1"/>
        <v>28</v>
      </c>
      <c r="K11" s="22">
        <f t="shared" si="2"/>
        <v>6.9999999999999982</v>
      </c>
    </row>
    <row r="12" spans="1:11" ht="15" customHeight="1">
      <c r="A12" s="9" t="s">
        <v>78</v>
      </c>
      <c r="B12" s="9" t="s">
        <v>79</v>
      </c>
      <c r="C12" s="9" t="s">
        <v>25</v>
      </c>
      <c r="D12" s="10" t="s">
        <v>80</v>
      </c>
      <c r="E12" s="11" t="str">
        <f t="shared" si="3"/>
        <v>Internal</v>
      </c>
      <c r="F12" s="12">
        <v>65</v>
      </c>
      <c r="G12" s="10">
        <v>40</v>
      </c>
      <c r="H12" s="13">
        <v>0.6</v>
      </c>
      <c r="I12" s="14">
        <f t="shared" si="0"/>
        <v>0.4</v>
      </c>
      <c r="J12" s="15">
        <f t="shared" si="1"/>
        <v>24</v>
      </c>
      <c r="K12" s="15">
        <f t="shared" si="2"/>
        <v>16</v>
      </c>
    </row>
    <row r="13" spans="1:11" ht="15" customHeight="1">
      <c r="A13" s="16" t="s">
        <v>81</v>
      </c>
      <c r="B13" s="16" t="s">
        <v>82</v>
      </c>
      <c r="C13" s="16" t="s">
        <v>23</v>
      </c>
      <c r="D13" s="17" t="s">
        <v>80</v>
      </c>
      <c r="E13" s="18" t="str">
        <f t="shared" si="3"/>
        <v>Internal</v>
      </c>
      <c r="F13" s="19">
        <v>65</v>
      </c>
      <c r="G13" s="17">
        <v>25</v>
      </c>
      <c r="H13" s="20">
        <v>0.5</v>
      </c>
      <c r="I13" s="21">
        <f t="shared" si="0"/>
        <v>0.5</v>
      </c>
      <c r="J13" s="22">
        <f t="shared" si="1"/>
        <v>12.5</v>
      </c>
      <c r="K13" s="22">
        <f t="shared" si="2"/>
        <v>12.5</v>
      </c>
    </row>
    <row r="14" spans="1:11" ht="15" customHeight="1">
      <c r="A14" s="9" t="s">
        <v>83</v>
      </c>
      <c r="B14" s="9" t="s">
        <v>82</v>
      </c>
      <c r="C14" s="9" t="s">
        <v>23</v>
      </c>
      <c r="D14" s="10" t="s">
        <v>80</v>
      </c>
      <c r="E14" s="11" t="str">
        <f t="shared" si="3"/>
        <v>Internal</v>
      </c>
      <c r="F14" s="12">
        <v>65</v>
      </c>
      <c r="G14" s="10">
        <v>25</v>
      </c>
      <c r="H14" s="13">
        <v>0.4</v>
      </c>
      <c r="I14" s="14">
        <f t="shared" si="0"/>
        <v>0.6</v>
      </c>
      <c r="J14" s="15">
        <f t="shared" si="1"/>
        <v>10</v>
      </c>
      <c r="K14" s="15">
        <f t="shared" si="2"/>
        <v>15</v>
      </c>
    </row>
    <row r="15" spans="1:11" ht="15" customHeight="1">
      <c r="A15" s="16" t="s">
        <v>84</v>
      </c>
      <c r="B15" s="16" t="s">
        <v>82</v>
      </c>
      <c r="C15" s="16" t="s">
        <v>23</v>
      </c>
      <c r="D15" s="17" t="s">
        <v>80</v>
      </c>
      <c r="E15" s="18" t="str">
        <f t="shared" si="3"/>
        <v>Internal</v>
      </c>
      <c r="F15" s="19">
        <v>65</v>
      </c>
      <c r="G15" s="17">
        <v>25</v>
      </c>
      <c r="H15" s="20">
        <v>0.1</v>
      </c>
      <c r="I15" s="21">
        <f t="shared" si="0"/>
        <v>0.9</v>
      </c>
      <c r="J15" s="22">
        <f t="shared" si="1"/>
        <v>2.5</v>
      </c>
      <c r="K15" s="22">
        <f t="shared" si="2"/>
        <v>22.5</v>
      </c>
    </row>
    <row r="16" spans="1:11" ht="15" customHeight="1">
      <c r="A16" s="9" t="s">
        <v>85</v>
      </c>
      <c r="B16" s="9" t="s">
        <v>82</v>
      </c>
      <c r="C16" s="9" t="s">
        <v>23</v>
      </c>
      <c r="D16" s="10" t="s">
        <v>80</v>
      </c>
      <c r="E16" s="11" t="str">
        <f t="shared" si="3"/>
        <v>Internal</v>
      </c>
      <c r="F16" s="12">
        <v>65</v>
      </c>
      <c r="G16" s="10">
        <v>25</v>
      </c>
      <c r="H16" s="13">
        <v>0.25</v>
      </c>
      <c r="I16" s="14">
        <f t="shared" si="0"/>
        <v>0.75</v>
      </c>
      <c r="J16" s="15">
        <f t="shared" si="1"/>
        <v>6.25</v>
      </c>
      <c r="K16" s="15">
        <f t="shared" si="2"/>
        <v>18.75</v>
      </c>
    </row>
    <row r="17" spans="1:11" ht="15" customHeight="1">
      <c r="A17" s="16" t="s">
        <v>86</v>
      </c>
      <c r="B17" s="16" t="s">
        <v>79</v>
      </c>
      <c r="C17" s="16" t="s">
        <v>25</v>
      </c>
      <c r="D17" s="17" t="s">
        <v>80</v>
      </c>
      <c r="E17" s="18" t="str">
        <f t="shared" si="3"/>
        <v>Internal</v>
      </c>
      <c r="F17" s="19">
        <v>65</v>
      </c>
      <c r="G17" s="17">
        <v>35</v>
      </c>
      <c r="H17" s="20">
        <v>0.5</v>
      </c>
      <c r="I17" s="21">
        <f t="shared" si="0"/>
        <v>0.5</v>
      </c>
      <c r="J17" s="22">
        <f t="shared" si="1"/>
        <v>17.5</v>
      </c>
      <c r="K17" s="22">
        <f t="shared" si="2"/>
        <v>17.5</v>
      </c>
    </row>
    <row r="18" spans="1:11" ht="15" customHeight="1">
      <c r="A18" s="9" t="s">
        <v>87</v>
      </c>
      <c r="B18" s="9" t="s">
        <v>79</v>
      </c>
      <c r="C18" s="16" t="s">
        <v>25</v>
      </c>
      <c r="D18" s="10" t="s">
        <v>80</v>
      </c>
      <c r="E18" s="11" t="str">
        <f t="shared" si="3"/>
        <v>Internal</v>
      </c>
      <c r="F18" s="12">
        <v>65</v>
      </c>
      <c r="G18" s="10">
        <v>35</v>
      </c>
      <c r="H18" s="13">
        <v>0.2</v>
      </c>
      <c r="I18" s="14">
        <f t="shared" si="0"/>
        <v>0.8</v>
      </c>
      <c r="J18" s="15">
        <f t="shared" si="1"/>
        <v>7</v>
      </c>
      <c r="K18" s="15">
        <f t="shared" si="2"/>
        <v>28</v>
      </c>
    </row>
    <row r="19" spans="1:11" ht="15" customHeight="1">
      <c r="A19" s="16" t="s">
        <v>88</v>
      </c>
      <c r="B19" s="16" t="s">
        <v>79</v>
      </c>
      <c r="C19" s="16" t="s">
        <v>25</v>
      </c>
      <c r="D19" s="17" t="s">
        <v>80</v>
      </c>
      <c r="E19" s="18" t="str">
        <f t="shared" si="3"/>
        <v>Internal</v>
      </c>
      <c r="F19" s="19">
        <v>65</v>
      </c>
      <c r="G19" s="17">
        <v>35</v>
      </c>
      <c r="H19" s="20">
        <v>0.5</v>
      </c>
      <c r="I19" s="21">
        <f t="shared" si="0"/>
        <v>0.5</v>
      </c>
      <c r="J19" s="22">
        <f t="shared" si="1"/>
        <v>17.5</v>
      </c>
      <c r="K19" s="22">
        <f t="shared" si="2"/>
        <v>17.5</v>
      </c>
    </row>
    <row r="20" spans="1:11" ht="15" customHeight="1">
      <c r="A20" s="9" t="s">
        <v>89</v>
      </c>
      <c r="B20" s="9" t="s">
        <v>90</v>
      </c>
      <c r="C20" s="9" t="s">
        <v>29</v>
      </c>
      <c r="D20" s="10" t="s">
        <v>80</v>
      </c>
      <c r="E20" s="11" t="str">
        <f t="shared" si="3"/>
        <v>Internal</v>
      </c>
      <c r="F20" s="12">
        <v>65</v>
      </c>
      <c r="G20" s="10">
        <v>35</v>
      </c>
      <c r="H20" s="13">
        <v>0.5</v>
      </c>
      <c r="I20" s="14">
        <f t="shared" si="0"/>
        <v>0.5</v>
      </c>
      <c r="J20" s="15">
        <f t="shared" si="1"/>
        <v>17.5</v>
      </c>
      <c r="K20" s="15">
        <f t="shared" si="2"/>
        <v>17.5</v>
      </c>
    </row>
    <row r="21" spans="1:11" ht="15" customHeight="1">
      <c r="A21" s="16" t="s">
        <v>91</v>
      </c>
      <c r="B21" s="16" t="s">
        <v>90</v>
      </c>
      <c r="C21" s="16" t="s">
        <v>29</v>
      </c>
      <c r="D21" s="17" t="s">
        <v>80</v>
      </c>
      <c r="E21" s="18" t="str">
        <f t="shared" si="3"/>
        <v>Internal</v>
      </c>
      <c r="F21" s="19">
        <v>65</v>
      </c>
      <c r="G21" s="17">
        <v>35</v>
      </c>
      <c r="H21" s="20">
        <v>0.25</v>
      </c>
      <c r="I21" s="21">
        <f t="shared" si="0"/>
        <v>0.75</v>
      </c>
      <c r="J21" s="22">
        <f t="shared" si="1"/>
        <v>8.75</v>
      </c>
      <c r="K21" s="22">
        <f t="shared" si="2"/>
        <v>26.25</v>
      </c>
    </row>
    <row r="22" spans="1:11" ht="15" customHeight="1">
      <c r="A22" s="16" t="s">
        <v>92</v>
      </c>
      <c r="B22" s="16" t="s">
        <v>90</v>
      </c>
      <c r="C22" s="16" t="s">
        <v>29</v>
      </c>
      <c r="D22" s="17" t="s">
        <v>93</v>
      </c>
      <c r="E22" s="18" t="s">
        <v>73</v>
      </c>
      <c r="F22" s="19">
        <v>65</v>
      </c>
      <c r="G22" s="17">
        <v>32</v>
      </c>
      <c r="H22" s="20">
        <v>0.68</v>
      </c>
      <c r="I22" s="21">
        <f t="shared" ref="I22" si="4">1-H22</f>
        <v>0.31999999999999995</v>
      </c>
      <c r="J22" s="22">
        <f t="shared" ref="J22" si="5">G22*H22</f>
        <v>21.76</v>
      </c>
      <c r="K22" s="22">
        <f t="shared" ref="K22" si="6">G22*I22</f>
        <v>10.239999999999998</v>
      </c>
    </row>
    <row r="23" spans="1:11" ht="15" customHeight="1">
      <c r="A23" s="9" t="s">
        <v>94</v>
      </c>
      <c r="B23" s="9" t="s">
        <v>95</v>
      </c>
      <c r="C23" s="9" t="s">
        <v>28</v>
      </c>
      <c r="D23" s="10" t="s">
        <v>96</v>
      </c>
      <c r="E23" s="11" t="s">
        <v>73</v>
      </c>
      <c r="F23" s="12">
        <v>65</v>
      </c>
      <c r="G23" s="10">
        <v>35</v>
      </c>
      <c r="H23" s="13">
        <v>0.6</v>
      </c>
      <c r="I23" s="14">
        <f t="shared" si="0"/>
        <v>0.4</v>
      </c>
      <c r="J23" s="15">
        <f t="shared" si="1"/>
        <v>21</v>
      </c>
      <c r="K23" s="15">
        <f t="shared" si="2"/>
        <v>14</v>
      </c>
    </row>
    <row r="24" spans="1:11" ht="15" customHeight="1">
      <c r="A24" s="16" t="s">
        <v>97</v>
      </c>
      <c r="B24" s="16" t="s">
        <v>26</v>
      </c>
      <c r="C24" s="16" t="s">
        <v>26</v>
      </c>
      <c r="D24" s="17" t="s">
        <v>80</v>
      </c>
      <c r="E24" s="18" t="str">
        <f t="shared" si="3"/>
        <v>Internal</v>
      </c>
      <c r="F24" s="19">
        <v>65</v>
      </c>
      <c r="G24" s="17">
        <v>40</v>
      </c>
      <c r="H24" s="20">
        <v>0.6</v>
      </c>
      <c r="I24" s="21">
        <f t="shared" si="0"/>
        <v>0.4</v>
      </c>
      <c r="J24" s="22">
        <f t="shared" si="1"/>
        <v>24</v>
      </c>
      <c r="K24" s="22">
        <f t="shared" si="2"/>
        <v>16</v>
      </c>
    </row>
    <row r="25" spans="1:11" ht="15" customHeight="1">
      <c r="A25" s="9" t="s">
        <v>98</v>
      </c>
      <c r="B25" s="9" t="s">
        <v>26</v>
      </c>
      <c r="C25" s="9" t="s">
        <v>26</v>
      </c>
      <c r="D25" s="10" t="s">
        <v>80</v>
      </c>
      <c r="E25" s="11" t="str">
        <f t="shared" si="3"/>
        <v>Internal</v>
      </c>
      <c r="F25" s="12">
        <v>65</v>
      </c>
      <c r="G25" s="10">
        <v>40</v>
      </c>
      <c r="H25" s="13">
        <v>0.6</v>
      </c>
      <c r="I25" s="14">
        <f t="shared" si="0"/>
        <v>0.4</v>
      </c>
      <c r="J25" s="15">
        <f t="shared" si="1"/>
        <v>24</v>
      </c>
      <c r="K25" s="15">
        <f t="shared" si="2"/>
        <v>16</v>
      </c>
    </row>
    <row r="26" spans="1:11" ht="15" customHeight="1">
      <c r="A26" s="9" t="s">
        <v>99</v>
      </c>
      <c r="B26" s="9" t="s">
        <v>26</v>
      </c>
      <c r="C26" s="9" t="s">
        <v>26</v>
      </c>
      <c r="D26" s="10" t="s">
        <v>80</v>
      </c>
      <c r="E26" s="18" t="str">
        <f t="shared" si="3"/>
        <v>Internal</v>
      </c>
      <c r="F26" s="12">
        <v>65</v>
      </c>
      <c r="G26" s="10">
        <v>40</v>
      </c>
      <c r="H26" s="23">
        <v>0.6</v>
      </c>
      <c r="I26" s="14">
        <f t="shared" ref="I26" si="7">1-H26</f>
        <v>0.4</v>
      </c>
      <c r="J26" s="15">
        <f t="shared" ref="J26" si="8">G26*H26</f>
        <v>24</v>
      </c>
      <c r="K26" s="15">
        <f t="shared" ref="K26" si="9">G26*I26</f>
        <v>16</v>
      </c>
    </row>
    <row r="27" spans="1:11" ht="15" customHeight="1">
      <c r="A27" s="9" t="s">
        <v>100</v>
      </c>
      <c r="B27" s="9"/>
      <c r="C27" s="9"/>
      <c r="D27" s="9"/>
      <c r="E27" s="24"/>
      <c r="F27" s="9"/>
      <c r="G27" s="10">
        <f>SUM(G4:G26)</f>
        <v>782</v>
      </c>
      <c r="H27" s="25">
        <f>IF(G27&gt;0,J27/G27,0)</f>
        <v>0.43895140664961635</v>
      </c>
      <c r="I27" s="25">
        <f>IF(G27&gt;0,K27/G27,0)</f>
        <v>0.5610485933503836</v>
      </c>
      <c r="J27" s="26">
        <f>SUM(J4:J26)</f>
        <v>343.26</v>
      </c>
      <c r="K27" s="26">
        <f>SUM(K4:K26)</f>
        <v>438.74</v>
      </c>
    </row>
  </sheetData>
  <sheetProtection sheet="1" objects="1" scenarios="1" sort="0" autoFilter="0"/>
  <autoFilter ref="A3:K27" xr:uid="{00000000-0009-0000-0000-000001000000}"/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AD42"/>
  <sheetViews>
    <sheetView zoomScaleNormal="100" workbookViewId="0">
      <pane xSplit="2" ySplit="3" topLeftCell="P18" activePane="bottomRight" state="frozen"/>
      <selection pane="bottomRight" activeCell="A5" sqref="A5"/>
      <selection pane="bottomLeft" activeCell="A4" sqref="A4"/>
      <selection pane="topRight" activeCell="C1" sqref="C1"/>
    </sheetView>
  </sheetViews>
  <sheetFormatPr defaultColWidth="8.7109375" defaultRowHeight="15" outlineLevelCol="1"/>
  <cols>
    <col min="1" max="1" width="12" customWidth="1"/>
    <col min="2" max="2" width="49.5703125" customWidth="1"/>
    <col min="3" max="3" width="14" customWidth="1"/>
    <col min="4" max="4" width="24.7109375" customWidth="1"/>
    <col min="5" max="5" width="18" customWidth="1"/>
    <col min="6" max="6" width="30.5703125" customWidth="1"/>
    <col min="7" max="7" width="19.7109375" customWidth="1"/>
    <col min="8" max="8" width="12.7109375" customWidth="1"/>
    <col min="9" max="9" width="17.7109375" customWidth="1"/>
    <col min="10" max="10" width="20.28515625" customWidth="1"/>
    <col min="11" max="11" width="24.140625" customWidth="1"/>
    <col min="12" max="12" width="20" customWidth="1"/>
    <col min="13" max="13" width="11.7109375" bestFit="1" customWidth="1"/>
    <col min="14" max="14" width="14.85546875" bestFit="1" customWidth="1"/>
    <col min="15" max="15" width="15.5703125" bestFit="1" customWidth="1"/>
    <col min="16" max="16" width="24" customWidth="1"/>
    <col min="17" max="17" width="18" customWidth="1"/>
    <col min="18" max="27" width="19" customWidth="1"/>
    <col min="28" max="28" width="40" customWidth="1"/>
    <col min="29" max="29" width="0" hidden="1" customWidth="1" outlineLevel="1"/>
    <col min="30" max="30" width="8.7109375" collapsed="1"/>
  </cols>
  <sheetData>
    <row r="1" spans="1:29" ht="18">
      <c r="A1" s="269" t="s">
        <v>101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3"/>
    </row>
    <row r="2" spans="1:2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>
      <c r="A3" s="87" t="s">
        <v>102</v>
      </c>
      <c r="B3" s="87" t="s">
        <v>103</v>
      </c>
      <c r="C3" s="87" t="s">
        <v>104</v>
      </c>
      <c r="D3" s="87" t="s">
        <v>105</v>
      </c>
      <c r="E3" s="87" t="s">
        <v>106</v>
      </c>
      <c r="F3" s="87" t="s">
        <v>107</v>
      </c>
      <c r="G3" s="87" t="s">
        <v>42</v>
      </c>
      <c r="H3" s="87" t="s">
        <v>108</v>
      </c>
      <c r="I3" s="87" t="s">
        <v>109</v>
      </c>
      <c r="J3" s="87" t="s">
        <v>110</v>
      </c>
      <c r="K3" s="87" t="s">
        <v>111</v>
      </c>
      <c r="L3" s="87" t="s">
        <v>12</v>
      </c>
      <c r="M3" s="88" t="s">
        <v>112</v>
      </c>
      <c r="N3" s="88" t="s">
        <v>113</v>
      </c>
      <c r="O3" s="88" t="s">
        <v>64</v>
      </c>
      <c r="P3" s="88" t="s">
        <v>69</v>
      </c>
      <c r="Q3" s="87" t="s">
        <v>114</v>
      </c>
      <c r="R3" s="87" t="s">
        <v>115</v>
      </c>
      <c r="S3" s="88" t="s">
        <v>116</v>
      </c>
      <c r="T3" s="88" t="s">
        <v>117</v>
      </c>
      <c r="U3" s="88" t="s">
        <v>118</v>
      </c>
      <c r="V3" s="88" t="s">
        <v>119</v>
      </c>
      <c r="W3" s="88" t="s">
        <v>120</v>
      </c>
      <c r="X3" s="88" t="s">
        <v>121</v>
      </c>
      <c r="Y3" s="88" t="s">
        <v>122</v>
      </c>
      <c r="Z3" s="88" t="s">
        <v>123</v>
      </c>
      <c r="AA3" s="88" t="s">
        <v>124</v>
      </c>
      <c r="AB3" s="88" t="s">
        <v>125</v>
      </c>
      <c r="AC3" s="117" t="s">
        <v>126</v>
      </c>
    </row>
    <row r="4" spans="1:29">
      <c r="A4" s="89" t="s">
        <v>127</v>
      </c>
      <c r="B4" s="89" t="s">
        <v>128</v>
      </c>
      <c r="C4" s="90" t="s">
        <v>129</v>
      </c>
      <c r="D4" s="89" t="s">
        <v>130</v>
      </c>
      <c r="E4" s="89" t="s">
        <v>131</v>
      </c>
      <c r="F4" s="89" t="s">
        <v>132</v>
      </c>
      <c r="G4" s="91">
        <v>0.15</v>
      </c>
      <c r="H4" s="89" t="s">
        <v>133</v>
      </c>
      <c r="I4" s="92">
        <v>45944</v>
      </c>
      <c r="J4" s="92">
        <v>46174</v>
      </c>
      <c r="K4" s="92"/>
      <c r="L4" s="89" t="s">
        <v>23</v>
      </c>
      <c r="M4" s="93"/>
      <c r="N4" s="93" t="s">
        <v>78</v>
      </c>
      <c r="O4" s="93"/>
      <c r="P4" s="93"/>
      <c r="Q4" s="89" t="s">
        <v>134</v>
      </c>
      <c r="R4" s="89">
        <v>1480</v>
      </c>
      <c r="S4" s="94">
        <f>$R4*65</f>
        <v>96200</v>
      </c>
      <c r="T4" s="95">
        <v>0.1</v>
      </c>
      <c r="U4" s="95"/>
      <c r="V4" s="95"/>
      <c r="W4" s="95"/>
      <c r="X4" s="95"/>
      <c r="Y4" s="95"/>
      <c r="Z4" s="96"/>
      <c r="AA4" s="96"/>
      <c r="AB4" s="97" t="s">
        <v>135</v>
      </c>
      <c r="AC4" s="98">
        <f>IF(OR(ISNUMBER(SEARCH("POSTPONED",$F4)),ISNUMBER(SEARCH("NOT APPROVED",$F4))),2,IF(ISNUMBER(SEARCH("COMPLETE",$F4)),3,1))</f>
        <v>1</v>
      </c>
    </row>
    <row r="5" spans="1:29">
      <c r="A5" s="99" t="s">
        <v>136</v>
      </c>
      <c r="B5" s="99" t="s">
        <v>137</v>
      </c>
      <c r="C5" s="100" t="s">
        <v>129</v>
      </c>
      <c r="D5" s="99" t="s">
        <v>138</v>
      </c>
      <c r="E5" s="99" t="s">
        <v>139</v>
      </c>
      <c r="F5" s="99" t="s">
        <v>140</v>
      </c>
      <c r="G5" s="101">
        <v>0.1</v>
      </c>
      <c r="H5" s="99" t="s">
        <v>133</v>
      </c>
      <c r="I5" s="102">
        <v>46068</v>
      </c>
      <c r="J5" s="102">
        <v>46203</v>
      </c>
      <c r="K5" s="102"/>
      <c r="L5" s="99" t="s">
        <v>66</v>
      </c>
      <c r="M5" s="103" t="s">
        <v>89</v>
      </c>
      <c r="N5" s="103"/>
      <c r="O5" s="103"/>
      <c r="P5" s="103"/>
      <c r="Q5" s="99" t="s">
        <v>141</v>
      </c>
      <c r="R5" s="99">
        <v>240</v>
      </c>
      <c r="S5" s="104">
        <f>$R5*65</f>
        <v>15600</v>
      </c>
      <c r="T5" s="105">
        <v>0.1</v>
      </c>
      <c r="U5" s="105"/>
      <c r="V5" s="105"/>
      <c r="W5" s="105"/>
      <c r="X5" s="105"/>
      <c r="Y5" s="105"/>
      <c r="Z5" s="105">
        <v>0.25</v>
      </c>
      <c r="AA5" s="105"/>
      <c r="AB5" s="103"/>
      <c r="AC5" s="106">
        <f>IF(OR(ISNUMBER(SEARCH("POSTPONED",$F5)),ISNUMBER(SEARCH("NOT APPROVED",$F5))),2,IF(ISNUMBER(SEARCH("COMPLETE",$F5)),3,1))</f>
        <v>1</v>
      </c>
    </row>
    <row r="6" spans="1:29">
      <c r="A6" s="89" t="s">
        <v>142</v>
      </c>
      <c r="B6" s="89" t="s">
        <v>143</v>
      </c>
      <c r="C6" s="90" t="s">
        <v>129</v>
      </c>
      <c r="D6" s="89" t="s">
        <v>144</v>
      </c>
      <c r="E6" s="89" t="s">
        <v>145</v>
      </c>
      <c r="F6" s="89" t="s">
        <v>140</v>
      </c>
      <c r="G6" s="91">
        <v>0.13</v>
      </c>
      <c r="H6" s="89" t="s">
        <v>133</v>
      </c>
      <c r="I6" s="92">
        <v>45978</v>
      </c>
      <c r="J6" s="92">
        <v>46136</v>
      </c>
      <c r="K6" s="92"/>
      <c r="L6" s="89" t="s">
        <v>23</v>
      </c>
      <c r="M6" s="93"/>
      <c r="N6" s="93" t="s">
        <v>87</v>
      </c>
      <c r="O6" s="93"/>
      <c r="P6" s="93" t="s">
        <v>84</v>
      </c>
      <c r="Q6" s="89" t="s">
        <v>134</v>
      </c>
      <c r="R6" s="89">
        <v>640</v>
      </c>
      <c r="S6" s="107">
        <f>$R6*65</f>
        <v>41600</v>
      </c>
      <c r="T6" s="96">
        <v>0.1</v>
      </c>
      <c r="U6" s="96"/>
      <c r="V6" s="96"/>
      <c r="W6" s="96">
        <v>0.75</v>
      </c>
      <c r="X6" s="96"/>
      <c r="Y6" s="96"/>
      <c r="Z6" s="96"/>
      <c r="AA6" s="96"/>
      <c r="AB6" s="93"/>
      <c r="AC6" s="108">
        <f>IF(OR(ISNUMBER(SEARCH("POSTPONED",$F6)),ISNUMBER(SEARCH("NOT APPROVED",$F6))),2,IF(ISNUMBER(SEARCH("COMPLETE",$F6)),3,1))</f>
        <v>1</v>
      </c>
    </row>
    <row r="7" spans="1:29">
      <c r="A7" s="89" t="s">
        <v>146</v>
      </c>
      <c r="B7" s="89" t="s">
        <v>147</v>
      </c>
      <c r="C7" s="90" t="s">
        <v>129</v>
      </c>
      <c r="D7" s="89" t="s">
        <v>144</v>
      </c>
      <c r="E7" s="89" t="s">
        <v>145</v>
      </c>
      <c r="F7" s="89" t="s">
        <v>140</v>
      </c>
      <c r="G7" s="91">
        <v>0</v>
      </c>
      <c r="H7" s="89" t="s">
        <v>133</v>
      </c>
      <c r="I7" s="92">
        <v>46055</v>
      </c>
      <c r="J7" s="92">
        <v>46203</v>
      </c>
      <c r="K7" s="92"/>
      <c r="L7" s="89" t="s">
        <v>26</v>
      </c>
      <c r="M7" s="93"/>
      <c r="N7" s="93"/>
      <c r="O7" s="93"/>
      <c r="P7" s="93"/>
      <c r="Q7" s="89"/>
      <c r="R7" s="89">
        <v>0</v>
      </c>
      <c r="S7" s="107">
        <f>$R7*65</f>
        <v>0</v>
      </c>
      <c r="T7" s="96">
        <v>0.1</v>
      </c>
      <c r="U7" s="96"/>
      <c r="V7" s="96"/>
      <c r="W7" s="96"/>
      <c r="X7" s="96"/>
      <c r="Y7" s="96"/>
      <c r="Z7" s="96"/>
      <c r="AA7" s="96"/>
      <c r="AB7" s="93"/>
      <c r="AC7" s="108">
        <f>IF(OR(ISNUMBER(SEARCH("POSTPONED",$F7)),ISNUMBER(SEARCH("NOT APPROVED",$F7))),2,IF(ISNUMBER(SEARCH("COMPLETE",$F7)),3,1))</f>
        <v>1</v>
      </c>
    </row>
    <row r="8" spans="1:29">
      <c r="A8" s="89" t="s">
        <v>148</v>
      </c>
      <c r="B8" s="89" t="s">
        <v>149</v>
      </c>
      <c r="C8" s="89" t="s">
        <v>150</v>
      </c>
      <c r="D8" s="89" t="s">
        <v>151</v>
      </c>
      <c r="E8" s="89" t="s">
        <v>152</v>
      </c>
      <c r="F8" s="89" t="s">
        <v>140</v>
      </c>
      <c r="G8" s="91">
        <v>0</v>
      </c>
      <c r="H8" s="89" t="s">
        <v>133</v>
      </c>
      <c r="I8" s="92">
        <v>46076</v>
      </c>
      <c r="J8" s="92">
        <v>46129</v>
      </c>
      <c r="K8" s="92"/>
      <c r="L8" s="89" t="s">
        <v>66</v>
      </c>
      <c r="M8" s="93"/>
      <c r="N8" s="93" t="s">
        <v>86</v>
      </c>
      <c r="O8" s="93" t="s">
        <v>63</v>
      </c>
      <c r="P8" s="93" t="s">
        <v>74</v>
      </c>
      <c r="Q8" s="89" t="s">
        <v>153</v>
      </c>
      <c r="R8" s="89">
        <v>120</v>
      </c>
      <c r="S8" s="107">
        <f>$R8*65</f>
        <v>7800</v>
      </c>
      <c r="T8" s="96">
        <v>0.1</v>
      </c>
      <c r="U8" s="96">
        <v>0.25</v>
      </c>
      <c r="V8" s="96">
        <v>0.65</v>
      </c>
      <c r="W8" s="96"/>
      <c r="X8" s="96"/>
      <c r="Y8" s="96"/>
      <c r="Z8" s="96"/>
      <c r="AA8" s="96"/>
      <c r="AB8" s="93"/>
      <c r="AC8" s="108">
        <f>IF(OR(ISNUMBER(SEARCH("POSTPONED",$F8)),ISNUMBER(SEARCH("NOT APPROVED",$F8))),2,IF(ISNUMBER(SEARCH("COMPLETE",$F8)),3,1))</f>
        <v>1</v>
      </c>
    </row>
    <row r="9" spans="1:29">
      <c r="A9" s="89" t="s">
        <v>154</v>
      </c>
      <c r="B9" s="89" t="s">
        <v>155</v>
      </c>
      <c r="C9" s="89" t="s">
        <v>150</v>
      </c>
      <c r="D9" s="89" t="s">
        <v>130</v>
      </c>
      <c r="E9" s="89" t="s">
        <v>131</v>
      </c>
      <c r="F9" s="89" t="s">
        <v>132</v>
      </c>
      <c r="G9" s="91">
        <v>0</v>
      </c>
      <c r="H9" s="89" t="s">
        <v>156</v>
      </c>
      <c r="I9" s="92"/>
      <c r="J9" s="92"/>
      <c r="K9" s="92"/>
      <c r="L9" s="89" t="s">
        <v>23</v>
      </c>
      <c r="M9" s="93"/>
      <c r="N9" s="93" t="s">
        <v>87</v>
      </c>
      <c r="O9" s="93"/>
      <c r="P9" s="93"/>
      <c r="Q9" s="89" t="s">
        <v>141</v>
      </c>
      <c r="R9" s="89">
        <v>240</v>
      </c>
      <c r="S9" s="107">
        <f>$R9*65</f>
        <v>15600</v>
      </c>
      <c r="T9" s="109">
        <v>0.1</v>
      </c>
      <c r="U9" s="109">
        <v>0</v>
      </c>
      <c r="V9" s="109">
        <v>0</v>
      </c>
      <c r="W9" s="109">
        <v>0.75</v>
      </c>
      <c r="X9" s="109">
        <v>0</v>
      </c>
      <c r="Y9" s="109">
        <v>0</v>
      </c>
      <c r="Z9" s="109">
        <v>0</v>
      </c>
      <c r="AA9" s="109">
        <v>0</v>
      </c>
      <c r="AB9" s="93"/>
      <c r="AC9" s="108">
        <f>IF(OR(ISNUMBER(SEARCH("POSTPONED",$F9)),ISNUMBER(SEARCH("NOT APPROVED",$F9))),2,IF(ISNUMBER(SEARCH("COMPLETE",$F9)),3,1))</f>
        <v>1</v>
      </c>
    </row>
    <row r="10" spans="1:29">
      <c r="A10" s="99" t="s">
        <v>157</v>
      </c>
      <c r="B10" s="99" t="s">
        <v>158</v>
      </c>
      <c r="C10" s="99" t="s">
        <v>150</v>
      </c>
      <c r="D10" s="99" t="s">
        <v>151</v>
      </c>
      <c r="E10" s="99" t="s">
        <v>152</v>
      </c>
      <c r="F10" s="99" t="s">
        <v>159</v>
      </c>
      <c r="G10" s="101">
        <v>0</v>
      </c>
      <c r="H10" s="99" t="s">
        <v>156</v>
      </c>
      <c r="I10" s="102"/>
      <c r="J10" s="102"/>
      <c r="K10" s="102"/>
      <c r="L10" s="99" t="s">
        <v>66</v>
      </c>
      <c r="M10" s="103"/>
      <c r="N10" s="103" t="s">
        <v>86</v>
      </c>
      <c r="O10" s="103"/>
      <c r="P10" s="103"/>
      <c r="Q10" s="99" t="s">
        <v>134</v>
      </c>
      <c r="R10" s="99">
        <v>640</v>
      </c>
      <c r="S10" s="104">
        <f>$R10*65</f>
        <v>41600</v>
      </c>
      <c r="T10" s="110">
        <v>0.1</v>
      </c>
      <c r="U10" s="110">
        <v>0.25</v>
      </c>
      <c r="V10" s="110">
        <v>0.65</v>
      </c>
      <c r="W10" s="110">
        <v>0</v>
      </c>
      <c r="X10" s="110">
        <v>0</v>
      </c>
      <c r="Y10" s="110">
        <v>0</v>
      </c>
      <c r="Z10" s="110">
        <v>0</v>
      </c>
      <c r="AA10" s="110">
        <v>0</v>
      </c>
      <c r="AB10" s="103" t="s">
        <v>160</v>
      </c>
      <c r="AC10" s="106">
        <f>IF(OR(ISNUMBER(SEARCH("POSTPONED",$F10)),ISNUMBER(SEARCH("NOT APPROVED",$F10))),2,IF(ISNUMBER(SEARCH("COMPLETE",$F10)),3,1))</f>
        <v>1</v>
      </c>
    </row>
    <row r="11" spans="1:29">
      <c r="A11" s="89" t="s">
        <v>161</v>
      </c>
      <c r="B11" s="89" t="s">
        <v>162</v>
      </c>
      <c r="C11" s="89" t="s">
        <v>150</v>
      </c>
      <c r="D11" s="89" t="s">
        <v>163</v>
      </c>
      <c r="E11" s="89" t="s">
        <v>164</v>
      </c>
      <c r="F11" s="89" t="s">
        <v>132</v>
      </c>
      <c r="G11" s="91">
        <v>0</v>
      </c>
      <c r="H11" s="89" t="s">
        <v>156</v>
      </c>
      <c r="I11" s="92"/>
      <c r="J11" s="92"/>
      <c r="K11" s="92"/>
      <c r="L11" s="89" t="s">
        <v>23</v>
      </c>
      <c r="M11" s="93"/>
      <c r="N11" s="93" t="s">
        <v>88</v>
      </c>
      <c r="O11" s="93"/>
      <c r="P11" s="93"/>
      <c r="Q11" s="89" t="s">
        <v>165</v>
      </c>
      <c r="R11" s="89">
        <v>40</v>
      </c>
      <c r="S11" s="107">
        <f>$R11*65</f>
        <v>2600</v>
      </c>
      <c r="T11" s="109">
        <v>0.1</v>
      </c>
      <c r="U11" s="109">
        <v>0</v>
      </c>
      <c r="V11" s="109">
        <v>0</v>
      </c>
      <c r="W11" s="109">
        <v>0.75</v>
      </c>
      <c r="X11" s="109">
        <v>0</v>
      </c>
      <c r="Y11" s="109">
        <v>0</v>
      </c>
      <c r="Z11" s="109">
        <v>0</v>
      </c>
      <c r="AA11" s="109">
        <v>0</v>
      </c>
      <c r="AB11" s="93"/>
      <c r="AC11" s="108">
        <f>IF(OR(ISNUMBER(SEARCH("POSTPONED",$F11)),ISNUMBER(SEARCH("NOT APPROVED",$F11))),2,IF(ISNUMBER(SEARCH("COMPLETE",$F11)),3,1))</f>
        <v>1</v>
      </c>
    </row>
    <row r="12" spans="1:29">
      <c r="A12" s="99" t="s">
        <v>166</v>
      </c>
      <c r="B12" s="99" t="s">
        <v>167</v>
      </c>
      <c r="C12" s="99" t="s">
        <v>150</v>
      </c>
      <c r="D12" s="99" t="s">
        <v>151</v>
      </c>
      <c r="E12" s="99" t="s">
        <v>152</v>
      </c>
      <c r="F12" s="99" t="s">
        <v>168</v>
      </c>
      <c r="G12" s="101">
        <v>0</v>
      </c>
      <c r="H12" s="99" t="s">
        <v>156</v>
      </c>
      <c r="I12" s="102"/>
      <c r="J12" s="102"/>
      <c r="K12" s="102"/>
      <c r="L12" s="99" t="s">
        <v>66</v>
      </c>
      <c r="M12" s="103"/>
      <c r="N12" s="103"/>
      <c r="O12" s="103"/>
      <c r="P12" s="103"/>
      <c r="Q12" s="99" t="s">
        <v>153</v>
      </c>
      <c r="R12" s="99">
        <v>120</v>
      </c>
      <c r="S12" s="104">
        <f>$R12*65</f>
        <v>7800</v>
      </c>
      <c r="T12" s="110">
        <v>0.1</v>
      </c>
      <c r="U12" s="110">
        <v>0.25</v>
      </c>
      <c r="V12" s="110">
        <v>0.65</v>
      </c>
      <c r="W12" s="110">
        <v>0</v>
      </c>
      <c r="X12" s="110">
        <v>0</v>
      </c>
      <c r="Y12" s="110">
        <v>0</v>
      </c>
      <c r="Z12" s="110">
        <v>0</v>
      </c>
      <c r="AA12" s="110">
        <v>0</v>
      </c>
      <c r="AB12" s="103"/>
      <c r="AC12" s="106">
        <f>IF(OR(ISNUMBER(SEARCH("POSTPONED",$F12)),ISNUMBER(SEARCH("NOT APPROVED",$F12))),2,IF(ISNUMBER(SEARCH("COMPLETE",$F12)),3,1))</f>
        <v>1</v>
      </c>
    </row>
    <row r="13" spans="1:29">
      <c r="A13" s="89" t="s">
        <v>169</v>
      </c>
      <c r="B13" s="89" t="s">
        <v>170</v>
      </c>
      <c r="C13" s="89" t="s">
        <v>150</v>
      </c>
      <c r="D13" s="89" t="s">
        <v>130</v>
      </c>
      <c r="E13" s="89" t="s">
        <v>131</v>
      </c>
      <c r="F13" s="89" t="s">
        <v>132</v>
      </c>
      <c r="G13" s="91">
        <v>0</v>
      </c>
      <c r="H13" s="89" t="s">
        <v>171</v>
      </c>
      <c r="I13" s="92"/>
      <c r="J13" s="92"/>
      <c r="K13" s="92"/>
      <c r="L13" s="89" t="s">
        <v>23</v>
      </c>
      <c r="M13" s="93"/>
      <c r="N13" s="93" t="s">
        <v>87</v>
      </c>
      <c r="O13" s="93"/>
      <c r="P13" s="93"/>
      <c r="Q13" s="89" t="s">
        <v>165</v>
      </c>
      <c r="R13" s="89">
        <v>40</v>
      </c>
      <c r="S13" s="107">
        <f>$R13*65</f>
        <v>2600</v>
      </c>
      <c r="T13" s="109">
        <v>0.1</v>
      </c>
      <c r="U13" s="109">
        <v>0.25</v>
      </c>
      <c r="V13" s="109">
        <v>0</v>
      </c>
      <c r="W13" s="109">
        <v>0.65</v>
      </c>
      <c r="X13" s="109">
        <v>0</v>
      </c>
      <c r="Y13" s="109">
        <v>0</v>
      </c>
      <c r="Z13" s="109">
        <v>0</v>
      </c>
      <c r="AA13" s="109">
        <v>0</v>
      </c>
      <c r="AB13" s="93"/>
      <c r="AC13" s="108">
        <f>IF(OR(ISNUMBER(SEARCH("POSTPONED",$F13)),ISNUMBER(SEARCH("NOT APPROVED",$F13))),2,IF(ISNUMBER(SEARCH("COMPLETE",$F13)),3,1))</f>
        <v>1</v>
      </c>
    </row>
    <row r="14" spans="1:29">
      <c r="A14" s="99" t="s">
        <v>172</v>
      </c>
      <c r="B14" s="99" t="s">
        <v>173</v>
      </c>
      <c r="C14" s="99" t="s">
        <v>150</v>
      </c>
      <c r="D14" s="99" t="s">
        <v>130</v>
      </c>
      <c r="E14" s="99" t="s">
        <v>131</v>
      </c>
      <c r="F14" s="99" t="s">
        <v>168</v>
      </c>
      <c r="G14" s="101">
        <v>0</v>
      </c>
      <c r="H14" s="99" t="s">
        <v>171</v>
      </c>
      <c r="I14" s="102"/>
      <c r="J14" s="102"/>
      <c r="K14" s="102"/>
      <c r="L14" s="99" t="s">
        <v>23</v>
      </c>
      <c r="M14" s="103"/>
      <c r="N14" s="103"/>
      <c r="O14" s="103"/>
      <c r="P14" s="103"/>
      <c r="Q14" s="99"/>
      <c r="R14" s="99">
        <v>200</v>
      </c>
      <c r="S14" s="104">
        <f>$R14*65</f>
        <v>13000</v>
      </c>
      <c r="T14" s="110">
        <v>0.1</v>
      </c>
      <c r="U14" s="110">
        <v>0</v>
      </c>
      <c r="V14" s="110">
        <v>0</v>
      </c>
      <c r="W14" s="110">
        <v>0.75</v>
      </c>
      <c r="X14" s="110">
        <v>0</v>
      </c>
      <c r="Y14" s="110">
        <v>0</v>
      </c>
      <c r="Z14" s="110">
        <v>0</v>
      </c>
      <c r="AA14" s="110">
        <v>0</v>
      </c>
      <c r="AB14" s="103"/>
      <c r="AC14" s="106">
        <f>IF(OR(ISNUMBER(SEARCH("POSTPONED",$F14)),ISNUMBER(SEARCH("NOT APPROVED",$F14))),2,IF(ISNUMBER(SEARCH("COMPLETE",$F14)),3,1))</f>
        <v>1</v>
      </c>
    </row>
    <row r="15" spans="1:29">
      <c r="A15" s="89" t="s">
        <v>174</v>
      </c>
      <c r="B15" s="89" t="s">
        <v>175</v>
      </c>
      <c r="C15" s="89" t="s">
        <v>150</v>
      </c>
      <c r="D15" s="89" t="s">
        <v>130</v>
      </c>
      <c r="E15" s="89" t="s">
        <v>131</v>
      </c>
      <c r="F15" s="89" t="s">
        <v>159</v>
      </c>
      <c r="G15" s="91">
        <v>0</v>
      </c>
      <c r="H15" s="89" t="s">
        <v>156</v>
      </c>
      <c r="I15" s="92"/>
      <c r="J15" s="92"/>
      <c r="K15" s="92"/>
      <c r="L15" s="89" t="s">
        <v>23</v>
      </c>
      <c r="M15" s="93"/>
      <c r="N15" s="93"/>
      <c r="O15" s="93"/>
      <c r="P15" s="93"/>
      <c r="Q15" s="89"/>
      <c r="R15" s="89">
        <v>200</v>
      </c>
      <c r="S15" s="107">
        <f>$R15*65</f>
        <v>13000</v>
      </c>
      <c r="T15" s="109">
        <v>0.1</v>
      </c>
      <c r="U15" s="109">
        <v>0</v>
      </c>
      <c r="V15" s="109">
        <v>0</v>
      </c>
      <c r="W15" s="109">
        <v>0.75</v>
      </c>
      <c r="X15" s="109">
        <v>0</v>
      </c>
      <c r="Y15" s="109">
        <v>0</v>
      </c>
      <c r="Z15" s="109">
        <v>0</v>
      </c>
      <c r="AA15" s="109">
        <v>0</v>
      </c>
      <c r="AB15" s="93"/>
      <c r="AC15" s="108">
        <f>IF(OR(ISNUMBER(SEARCH("POSTPONED",$F15)),ISNUMBER(SEARCH("NOT APPROVED",$F15))),2,IF(ISNUMBER(SEARCH("COMPLETE",$F15)),3,1))</f>
        <v>1</v>
      </c>
    </row>
    <row r="16" spans="1:29">
      <c r="A16" s="99" t="s">
        <v>176</v>
      </c>
      <c r="B16" s="99" t="s">
        <v>177</v>
      </c>
      <c r="C16" s="99" t="s">
        <v>150</v>
      </c>
      <c r="D16" s="99" t="s">
        <v>151</v>
      </c>
      <c r="E16" s="99" t="s">
        <v>152</v>
      </c>
      <c r="F16" s="99" t="s">
        <v>132</v>
      </c>
      <c r="G16" s="101">
        <v>0</v>
      </c>
      <c r="H16" s="99" t="s">
        <v>171</v>
      </c>
      <c r="I16" s="102"/>
      <c r="J16" s="102"/>
      <c r="K16" s="102"/>
      <c r="L16" s="99" t="s">
        <v>66</v>
      </c>
      <c r="M16" s="103"/>
      <c r="N16" s="103"/>
      <c r="O16" s="103"/>
      <c r="P16" s="103"/>
      <c r="Q16" s="99"/>
      <c r="R16" s="99">
        <v>200</v>
      </c>
      <c r="S16" s="104">
        <f>$R16*65</f>
        <v>13000</v>
      </c>
      <c r="T16" s="110">
        <v>0.1</v>
      </c>
      <c r="U16" s="110">
        <v>0.25</v>
      </c>
      <c r="V16" s="110">
        <v>0.75</v>
      </c>
      <c r="W16" s="110">
        <v>0</v>
      </c>
      <c r="X16" s="110">
        <v>0</v>
      </c>
      <c r="Y16" s="110">
        <v>0</v>
      </c>
      <c r="Z16" s="110">
        <v>0</v>
      </c>
      <c r="AA16" s="110">
        <v>0</v>
      </c>
      <c r="AB16" s="103"/>
      <c r="AC16" s="106">
        <f>IF(OR(ISNUMBER(SEARCH("POSTPONED",$F16)),ISNUMBER(SEARCH("NOT APPROVED",$F16))),2,IF(ISNUMBER(SEARCH("COMPLETE",$F16)),3,1))</f>
        <v>1</v>
      </c>
    </row>
    <row r="17" spans="1:29">
      <c r="A17" s="99"/>
      <c r="B17" s="99"/>
      <c r="C17" s="99"/>
      <c r="D17" s="99"/>
      <c r="E17" s="99"/>
      <c r="F17" s="99"/>
      <c r="G17" s="101"/>
      <c r="H17" s="99"/>
      <c r="I17" s="102"/>
      <c r="J17" s="102"/>
      <c r="K17" s="102"/>
      <c r="L17" s="99"/>
      <c r="M17" s="103"/>
      <c r="N17" s="103"/>
      <c r="O17" s="103"/>
      <c r="P17" s="103"/>
      <c r="Q17" s="99"/>
      <c r="R17" s="99"/>
      <c r="S17" s="104"/>
      <c r="T17" s="99"/>
      <c r="U17" s="99"/>
      <c r="V17" s="99"/>
      <c r="W17" s="99"/>
      <c r="X17" s="99"/>
      <c r="Y17" s="99"/>
      <c r="Z17" s="105"/>
      <c r="AA17" s="105"/>
      <c r="AB17" s="103"/>
      <c r="AC17" s="106">
        <f>IF(OR(ISNUMBER(SEARCH("POSTPONED",$F17)),ISNUMBER(SEARCH("NOT APPROVED",$F17))),2,IF(ISNUMBER(SEARCH("COMPLETE",$F17)),3,1))</f>
        <v>1</v>
      </c>
    </row>
    <row r="18" spans="1:29">
      <c r="A18" s="126" t="s">
        <v>178</v>
      </c>
      <c r="B18" s="126" t="s">
        <v>179</v>
      </c>
      <c r="C18" s="126" t="s">
        <v>150</v>
      </c>
      <c r="D18" s="126" t="s">
        <v>151</v>
      </c>
      <c r="E18" s="126" t="s">
        <v>78</v>
      </c>
      <c r="F18" s="126" t="s">
        <v>180</v>
      </c>
      <c r="G18" s="127">
        <v>0</v>
      </c>
      <c r="H18" s="126"/>
      <c r="I18" s="128"/>
      <c r="J18" s="128"/>
      <c r="K18" s="128"/>
      <c r="L18" s="126"/>
      <c r="M18" s="129"/>
      <c r="N18" s="129"/>
      <c r="O18" s="129"/>
      <c r="P18" s="129"/>
      <c r="Q18" s="126"/>
      <c r="R18" s="126"/>
      <c r="S18" s="130"/>
      <c r="T18" s="126"/>
      <c r="U18" s="126"/>
      <c r="V18" s="126"/>
      <c r="W18" s="126"/>
      <c r="X18" s="126"/>
      <c r="Y18" s="126"/>
      <c r="Z18" s="131"/>
      <c r="AA18" s="131"/>
      <c r="AB18" s="129"/>
      <c r="AC18" s="132">
        <f>IF(OR(ISNUMBER(SEARCH("POSTPONED",$F18)),ISNUMBER(SEARCH("NOT APPROVED",$F18))),2,IF(ISNUMBER(SEARCH("COMPLETE",$F18)),3,1))</f>
        <v>2</v>
      </c>
    </row>
    <row r="19" spans="1:29">
      <c r="A19" s="133" t="s">
        <v>181</v>
      </c>
      <c r="B19" s="133" t="s">
        <v>182</v>
      </c>
      <c r="C19" s="133" t="s">
        <v>150</v>
      </c>
      <c r="D19" s="133" t="s">
        <v>151</v>
      </c>
      <c r="E19" s="133" t="s">
        <v>152</v>
      </c>
      <c r="F19" s="133" t="s">
        <v>180</v>
      </c>
      <c r="G19" s="134">
        <v>0</v>
      </c>
      <c r="H19" s="133"/>
      <c r="I19" s="135"/>
      <c r="J19" s="135"/>
      <c r="K19" s="135"/>
      <c r="L19" s="133"/>
      <c r="M19" s="136"/>
      <c r="N19" s="136"/>
      <c r="O19" s="136"/>
      <c r="P19" s="136"/>
      <c r="Q19" s="133"/>
      <c r="R19" s="133"/>
      <c r="S19" s="137"/>
      <c r="T19" s="133"/>
      <c r="U19" s="133"/>
      <c r="V19" s="133"/>
      <c r="W19" s="133"/>
      <c r="X19" s="133"/>
      <c r="Y19" s="133"/>
      <c r="Z19" s="138"/>
      <c r="AA19" s="138"/>
      <c r="AB19" s="136"/>
      <c r="AC19" s="139">
        <f>IF(OR(ISNUMBER(SEARCH("POSTPONED",$F19)),ISNUMBER(SEARCH("NOT APPROVED",$F19))),2,IF(ISNUMBER(SEARCH("COMPLETE",$F19)),3,1))</f>
        <v>2</v>
      </c>
    </row>
    <row r="20" spans="1:29">
      <c r="A20" s="119" t="s">
        <v>183</v>
      </c>
      <c r="B20" s="119" t="s">
        <v>184</v>
      </c>
      <c r="C20" s="119" t="s">
        <v>150</v>
      </c>
      <c r="D20" s="119" t="s">
        <v>151</v>
      </c>
      <c r="E20" s="119" t="s">
        <v>152</v>
      </c>
      <c r="F20" s="119" t="s">
        <v>180</v>
      </c>
      <c r="G20" s="120">
        <v>0</v>
      </c>
      <c r="H20" s="119"/>
      <c r="I20" s="121"/>
      <c r="J20" s="121"/>
      <c r="K20" s="121"/>
      <c r="L20" s="119"/>
      <c r="M20" s="122"/>
      <c r="N20" s="122"/>
      <c r="O20" s="122"/>
      <c r="P20" s="122"/>
      <c r="Q20" s="119"/>
      <c r="R20" s="119"/>
      <c r="S20" s="123"/>
      <c r="T20" s="119"/>
      <c r="U20" s="119"/>
      <c r="V20" s="119"/>
      <c r="W20" s="119"/>
      <c r="X20" s="119"/>
      <c r="Y20" s="119"/>
      <c r="Z20" s="124"/>
      <c r="AA20" s="124"/>
      <c r="AB20" s="122"/>
      <c r="AC20" s="125">
        <f>IF(OR(ISNUMBER(SEARCH("POSTPONED",$F20)),ISNUMBER(SEARCH("NOT APPROVED",$F20))),2,IF(ISNUMBER(SEARCH("COMPLETE",$F20)),3,1))</f>
        <v>2</v>
      </c>
    </row>
    <row r="21" spans="1:29">
      <c r="A21" s="99" t="s">
        <v>185</v>
      </c>
      <c r="B21" s="99" t="s">
        <v>186</v>
      </c>
      <c r="C21" s="99" t="s">
        <v>150</v>
      </c>
      <c r="D21" s="99" t="s">
        <v>151</v>
      </c>
      <c r="E21" s="99" t="s">
        <v>152</v>
      </c>
      <c r="F21" s="99" t="s">
        <v>180</v>
      </c>
      <c r="G21" s="101">
        <v>0</v>
      </c>
      <c r="H21" s="99"/>
      <c r="I21" s="102"/>
      <c r="J21" s="102"/>
      <c r="K21" s="102"/>
      <c r="L21" s="99"/>
      <c r="M21" s="103"/>
      <c r="N21" s="103"/>
      <c r="O21" s="103"/>
      <c r="P21" s="103"/>
      <c r="Q21" s="99"/>
      <c r="R21" s="99"/>
      <c r="S21" s="104"/>
      <c r="T21" s="99"/>
      <c r="U21" s="99"/>
      <c r="V21" s="99"/>
      <c r="W21" s="99"/>
      <c r="X21" s="99"/>
      <c r="Y21" s="99"/>
      <c r="Z21" s="105"/>
      <c r="AA21" s="105"/>
      <c r="AB21" s="103"/>
      <c r="AC21" s="106">
        <f>IF(OR(ISNUMBER(SEARCH("POSTPONED",$F21)),ISNUMBER(SEARCH("NOT APPROVED",$F21))),2,IF(ISNUMBER(SEARCH("COMPLETE",$F21)),3,1))</f>
        <v>2</v>
      </c>
    </row>
    <row r="22" spans="1:29">
      <c r="A22" s="89" t="s">
        <v>187</v>
      </c>
      <c r="B22" s="89" t="s">
        <v>188</v>
      </c>
      <c r="C22" s="89" t="s">
        <v>189</v>
      </c>
      <c r="D22" s="89" t="s">
        <v>151</v>
      </c>
      <c r="E22" s="89" t="s">
        <v>152</v>
      </c>
      <c r="F22" s="89" t="s">
        <v>180</v>
      </c>
      <c r="G22" s="91">
        <v>0</v>
      </c>
      <c r="H22" s="89"/>
      <c r="I22" s="92"/>
      <c r="J22" s="92"/>
      <c r="K22" s="92"/>
      <c r="L22" s="89"/>
      <c r="M22" s="93"/>
      <c r="N22" s="93"/>
      <c r="O22" s="93"/>
      <c r="P22" s="93"/>
      <c r="Q22" s="89"/>
      <c r="R22" s="89"/>
      <c r="S22" s="107"/>
      <c r="T22" s="89"/>
      <c r="U22" s="89"/>
      <c r="V22" s="89"/>
      <c r="W22" s="89"/>
      <c r="X22" s="89"/>
      <c r="Y22" s="89"/>
      <c r="Z22" s="96"/>
      <c r="AA22" s="96"/>
      <c r="AB22" s="93"/>
      <c r="AC22" s="108">
        <f>IF(OR(ISNUMBER(SEARCH("POSTPONED",$F22)),ISNUMBER(SEARCH("NOT APPROVED",$F22))),2,IF(ISNUMBER(SEARCH("COMPLETE",$F22)),3,1))</f>
        <v>2</v>
      </c>
    </row>
    <row r="23" spans="1:29">
      <c r="A23" s="99" t="s">
        <v>190</v>
      </c>
      <c r="B23" s="99" t="s">
        <v>191</v>
      </c>
      <c r="C23" s="99" t="s">
        <v>150</v>
      </c>
      <c r="D23" s="99" t="s">
        <v>138</v>
      </c>
      <c r="E23" s="99" t="s">
        <v>139</v>
      </c>
      <c r="F23" s="99" t="s">
        <v>180</v>
      </c>
      <c r="G23" s="101">
        <v>0</v>
      </c>
      <c r="H23" s="99"/>
      <c r="I23" s="102"/>
      <c r="J23" s="102"/>
      <c r="K23" s="102"/>
      <c r="L23" s="99"/>
      <c r="M23" s="103"/>
      <c r="N23" s="103"/>
      <c r="O23" s="103"/>
      <c r="P23" s="103"/>
      <c r="Q23" s="99"/>
      <c r="R23" s="99"/>
      <c r="S23" s="104"/>
      <c r="T23" s="99"/>
      <c r="U23" s="99"/>
      <c r="V23" s="99"/>
      <c r="W23" s="99"/>
      <c r="X23" s="99"/>
      <c r="Y23" s="99"/>
      <c r="Z23" s="105"/>
      <c r="AA23" s="105"/>
      <c r="AB23" s="103"/>
      <c r="AC23" s="106">
        <f>IF(OR(ISNUMBER(SEARCH("POSTPONED",$F23)),ISNUMBER(SEARCH("NOT APPROVED",$F23))),2,IF(ISNUMBER(SEARCH("COMPLETE",$F23)),3,1))</f>
        <v>2</v>
      </c>
    </row>
    <row r="24" spans="1:29">
      <c r="A24" s="89" t="s">
        <v>192</v>
      </c>
      <c r="B24" s="89" t="s">
        <v>193</v>
      </c>
      <c r="C24" s="89" t="s">
        <v>150</v>
      </c>
      <c r="D24" s="89" t="s">
        <v>130</v>
      </c>
      <c r="E24" s="89" t="s">
        <v>131</v>
      </c>
      <c r="F24" s="89" t="s">
        <v>180</v>
      </c>
      <c r="G24" s="91">
        <v>0</v>
      </c>
      <c r="H24" s="89"/>
      <c r="I24" s="92"/>
      <c r="J24" s="92"/>
      <c r="K24" s="92"/>
      <c r="L24" s="89"/>
      <c r="M24" s="93"/>
      <c r="N24" s="93"/>
      <c r="O24" s="93"/>
      <c r="P24" s="93"/>
      <c r="Q24" s="89"/>
      <c r="R24" s="89"/>
      <c r="S24" s="107"/>
      <c r="T24" s="89"/>
      <c r="U24" s="89"/>
      <c r="V24" s="89"/>
      <c r="W24" s="89"/>
      <c r="X24" s="89"/>
      <c r="Y24" s="89"/>
      <c r="Z24" s="96"/>
      <c r="AA24" s="96"/>
      <c r="AB24" s="93"/>
      <c r="AC24" s="108">
        <f>IF(OR(ISNUMBER(SEARCH("POSTPONED",$F24)),ISNUMBER(SEARCH("NOT APPROVED",$F24))),2,IF(ISNUMBER(SEARCH("COMPLETE",$F24)),3,1))</f>
        <v>2</v>
      </c>
    </row>
    <row r="25" spans="1:29">
      <c r="A25" s="99" t="s">
        <v>194</v>
      </c>
      <c r="B25" s="99" t="s">
        <v>195</v>
      </c>
      <c r="C25" s="99" t="s">
        <v>150</v>
      </c>
      <c r="D25" s="99" t="s">
        <v>130</v>
      </c>
      <c r="E25" s="99" t="s">
        <v>131</v>
      </c>
      <c r="F25" s="99" t="s">
        <v>180</v>
      </c>
      <c r="G25" s="101">
        <v>0</v>
      </c>
      <c r="H25" s="99"/>
      <c r="I25" s="102"/>
      <c r="J25" s="102"/>
      <c r="K25" s="102"/>
      <c r="L25" s="99"/>
      <c r="M25" s="103"/>
      <c r="N25" s="103"/>
      <c r="O25" s="103"/>
      <c r="P25" s="103"/>
      <c r="Q25" s="99"/>
      <c r="R25" s="99"/>
      <c r="S25" s="104"/>
      <c r="T25" s="99"/>
      <c r="U25" s="99"/>
      <c r="V25" s="99"/>
      <c r="W25" s="99"/>
      <c r="X25" s="99"/>
      <c r="Y25" s="99"/>
      <c r="Z25" s="105"/>
      <c r="AA25" s="105"/>
      <c r="AB25" s="103"/>
      <c r="AC25" s="106">
        <f>IF(OR(ISNUMBER(SEARCH("POSTPONED",$F25)),ISNUMBER(SEARCH("NOT APPROVED",$F25))),2,IF(ISNUMBER(SEARCH("COMPLETE",$F25)),3,1))</f>
        <v>2</v>
      </c>
    </row>
    <row r="26" spans="1:29">
      <c r="A26" s="89" t="s">
        <v>196</v>
      </c>
      <c r="B26" s="89" t="s">
        <v>197</v>
      </c>
      <c r="C26" s="89" t="s">
        <v>150</v>
      </c>
      <c r="D26" s="89" t="s">
        <v>130</v>
      </c>
      <c r="E26" s="89" t="s">
        <v>131</v>
      </c>
      <c r="F26" s="89" t="s">
        <v>180</v>
      </c>
      <c r="G26" s="91">
        <v>0</v>
      </c>
      <c r="H26" s="89" t="s">
        <v>133</v>
      </c>
      <c r="I26" s="92"/>
      <c r="J26" s="92"/>
      <c r="K26" s="92"/>
      <c r="L26" s="89" t="s">
        <v>23</v>
      </c>
      <c r="M26" s="93"/>
      <c r="N26" s="93" t="s">
        <v>78</v>
      </c>
      <c r="O26" s="93"/>
      <c r="P26" s="93"/>
      <c r="Q26" s="89" t="s">
        <v>153</v>
      </c>
      <c r="R26" s="89">
        <v>120</v>
      </c>
      <c r="S26" s="107"/>
      <c r="T26" s="89"/>
      <c r="U26" s="89"/>
      <c r="V26" s="89"/>
      <c r="W26" s="89"/>
      <c r="X26" s="89"/>
      <c r="Y26" s="89"/>
      <c r="Z26" s="96"/>
      <c r="AA26" s="96"/>
      <c r="AB26" s="93"/>
      <c r="AC26" s="108">
        <f>IF(OR(ISNUMBER(SEARCH("POSTPONED",$F26)),ISNUMBER(SEARCH("NOT APPROVED",$F26))),2,IF(ISNUMBER(SEARCH("COMPLETE",$F26)),3,1))</f>
        <v>2</v>
      </c>
    </row>
    <row r="27" spans="1:29">
      <c r="A27" s="99" t="s">
        <v>198</v>
      </c>
      <c r="B27" s="99" t="s">
        <v>199</v>
      </c>
      <c r="C27" s="99" t="s">
        <v>150</v>
      </c>
      <c r="D27" s="99" t="s">
        <v>151</v>
      </c>
      <c r="E27" s="99" t="s">
        <v>152</v>
      </c>
      <c r="F27" s="99" t="s">
        <v>200</v>
      </c>
      <c r="G27" s="101">
        <v>1</v>
      </c>
      <c r="H27" s="99" t="s">
        <v>171</v>
      </c>
      <c r="I27" s="102">
        <v>46057</v>
      </c>
      <c r="J27" s="102">
        <v>46080</v>
      </c>
      <c r="K27" s="102"/>
      <c r="L27" s="99" t="s">
        <v>66</v>
      </c>
      <c r="M27" s="103"/>
      <c r="N27" s="103" t="s">
        <v>86</v>
      </c>
      <c r="O27" s="103" t="s">
        <v>71</v>
      </c>
      <c r="P27" s="103" t="s">
        <v>72</v>
      </c>
      <c r="Q27" s="99" t="s">
        <v>153</v>
      </c>
      <c r="R27" s="99">
        <v>120</v>
      </c>
      <c r="S27" s="104">
        <f>$R27*65</f>
        <v>7800</v>
      </c>
      <c r="T27" s="105">
        <v>0.1</v>
      </c>
      <c r="U27" s="105">
        <v>0.25</v>
      </c>
      <c r="V27" s="105">
        <v>0.75</v>
      </c>
      <c r="W27" s="105"/>
      <c r="X27" s="105"/>
      <c r="Y27" s="105"/>
      <c r="Z27" s="105"/>
      <c r="AA27" s="105"/>
      <c r="AB27" s="103"/>
      <c r="AC27" s="106">
        <f>IF(OR(ISNUMBER(SEARCH("POSTPONED",$F27)),ISNUMBER(SEARCH("NOT APPROVED",$F27))),2,IF(ISNUMBER(SEARCH("COMPLETE",$F27)),3,1))</f>
        <v>3</v>
      </c>
    </row>
    <row r="28" spans="1:29">
      <c r="A28" s="99" t="s">
        <v>201</v>
      </c>
      <c r="B28" s="99" t="s">
        <v>202</v>
      </c>
      <c r="C28" s="99" t="s">
        <v>150</v>
      </c>
      <c r="D28" s="99" t="s">
        <v>163</v>
      </c>
      <c r="E28" s="99" t="s">
        <v>164</v>
      </c>
      <c r="F28" s="99" t="s">
        <v>200</v>
      </c>
      <c r="G28" s="101">
        <v>1</v>
      </c>
      <c r="H28" s="99" t="s">
        <v>171</v>
      </c>
      <c r="I28" s="102">
        <v>46083</v>
      </c>
      <c r="J28" s="102">
        <v>46101</v>
      </c>
      <c r="K28" s="102"/>
      <c r="L28" s="99" t="s">
        <v>66</v>
      </c>
      <c r="M28" s="103"/>
      <c r="N28" s="103" t="s">
        <v>86</v>
      </c>
      <c r="O28" s="103"/>
      <c r="P28" s="103"/>
      <c r="Q28" s="99" t="s">
        <v>153</v>
      </c>
      <c r="R28" s="99">
        <v>120</v>
      </c>
      <c r="S28" s="104">
        <f>$R28*65</f>
        <v>7800</v>
      </c>
      <c r="T28" s="105">
        <v>0.1</v>
      </c>
      <c r="U28" s="105">
        <v>0.25</v>
      </c>
      <c r="V28" s="105">
        <v>0.65</v>
      </c>
      <c r="W28" s="105"/>
      <c r="X28" s="105"/>
      <c r="Y28" s="105"/>
      <c r="Z28" s="105"/>
      <c r="AA28" s="105"/>
      <c r="AB28" s="103"/>
      <c r="AC28" s="106">
        <f>IF(OR(ISNUMBER(SEARCH("POSTPONED",$F28)),ISNUMBER(SEARCH("NOT APPROVED",$F28))),2,IF(ISNUMBER(SEARCH("COMPLETE",$F28)),3,1))</f>
        <v>3</v>
      </c>
    </row>
    <row r="29" spans="1:29">
      <c r="A29" s="99" t="s">
        <v>203</v>
      </c>
      <c r="B29" s="99" t="s">
        <v>204</v>
      </c>
      <c r="C29" s="100" t="s">
        <v>129</v>
      </c>
      <c r="D29" s="99" t="s">
        <v>144</v>
      </c>
      <c r="E29" s="99" t="s">
        <v>145</v>
      </c>
      <c r="F29" s="99" t="s">
        <v>200</v>
      </c>
      <c r="G29" s="101">
        <v>1</v>
      </c>
      <c r="H29" s="99" t="s">
        <v>171</v>
      </c>
      <c r="I29" s="102">
        <v>45992</v>
      </c>
      <c r="J29" s="102">
        <v>46102</v>
      </c>
      <c r="K29" s="102"/>
      <c r="L29" s="99" t="s">
        <v>26</v>
      </c>
      <c r="M29" s="103"/>
      <c r="N29" s="103"/>
      <c r="O29" s="103"/>
      <c r="P29" s="103" t="s">
        <v>98</v>
      </c>
      <c r="Q29" s="99"/>
      <c r="R29" s="99">
        <v>120</v>
      </c>
      <c r="S29" s="104">
        <f>$R29*65</f>
        <v>7800</v>
      </c>
      <c r="T29" s="105">
        <v>0.1</v>
      </c>
      <c r="U29" s="105"/>
      <c r="V29" s="105"/>
      <c r="W29" s="105"/>
      <c r="X29" s="105">
        <v>0.5</v>
      </c>
      <c r="Y29" s="105"/>
      <c r="Z29" s="105"/>
      <c r="AA29" s="105"/>
      <c r="AB29" s="103"/>
      <c r="AC29" s="106">
        <f>IF(OR(ISNUMBER(SEARCH("POSTPONED",$F29)),ISNUMBER(SEARCH("NOT APPROVED",$F29))),2,IF(ISNUMBER(SEARCH("COMPLETE",$F29)),3,1))</f>
        <v>3</v>
      </c>
    </row>
    <row r="30" spans="1:29">
      <c r="A30" s="99" t="s">
        <v>205</v>
      </c>
      <c r="B30" s="99" t="s">
        <v>206</v>
      </c>
      <c r="C30" s="99" t="s">
        <v>150</v>
      </c>
      <c r="D30" s="99" t="s">
        <v>130</v>
      </c>
      <c r="E30" s="99" t="s">
        <v>131</v>
      </c>
      <c r="F30" s="99" t="s">
        <v>200</v>
      </c>
      <c r="G30" s="101">
        <v>1</v>
      </c>
      <c r="H30" s="99" t="s">
        <v>133</v>
      </c>
      <c r="I30" s="102">
        <v>45957</v>
      </c>
      <c r="J30" s="102">
        <v>46031</v>
      </c>
      <c r="K30" s="102">
        <v>46068</v>
      </c>
      <c r="L30" s="99" t="s">
        <v>23</v>
      </c>
      <c r="M30" s="103"/>
      <c r="N30" s="103" t="s">
        <v>78</v>
      </c>
      <c r="O30" s="103"/>
      <c r="P30" s="103" t="s">
        <v>85</v>
      </c>
      <c r="Q30" s="99" t="s">
        <v>165</v>
      </c>
      <c r="R30" s="99">
        <v>60</v>
      </c>
      <c r="S30" s="104">
        <v>11895</v>
      </c>
      <c r="T30" s="99"/>
      <c r="U30" s="99"/>
      <c r="V30" s="99"/>
      <c r="W30" s="99"/>
      <c r="X30" s="99"/>
      <c r="Y30" s="99"/>
      <c r="Z30" s="105"/>
      <c r="AA30" s="105"/>
      <c r="AB30" s="103"/>
      <c r="AC30" s="106">
        <f>IF(OR(ISNUMBER(SEARCH("POSTPONED",$F30)),ISNUMBER(SEARCH("NOT APPROVED",$F30))),2,IF(ISNUMBER(SEARCH("COMPLETE",$F30)),3,1))</f>
        <v>3</v>
      </c>
    </row>
    <row r="31" spans="1:29">
      <c r="A31" s="89" t="s">
        <v>207</v>
      </c>
      <c r="B31" s="89" t="s">
        <v>208</v>
      </c>
      <c r="C31" s="89" t="s">
        <v>129</v>
      </c>
      <c r="D31" s="89" t="s">
        <v>163</v>
      </c>
      <c r="E31" s="89" t="s">
        <v>164</v>
      </c>
      <c r="F31" s="89" t="s">
        <v>200</v>
      </c>
      <c r="G31" s="91">
        <v>1</v>
      </c>
      <c r="H31" s="89" t="s">
        <v>133</v>
      </c>
      <c r="I31" s="92">
        <v>45973</v>
      </c>
      <c r="J31" s="92">
        <v>46045</v>
      </c>
      <c r="K31" s="92">
        <v>46045</v>
      </c>
      <c r="L31" s="89" t="s">
        <v>66</v>
      </c>
      <c r="M31" s="93"/>
      <c r="N31" s="93" t="s">
        <v>86</v>
      </c>
      <c r="O31" s="93"/>
      <c r="P31" s="93" t="s">
        <v>68</v>
      </c>
      <c r="Q31" s="89" t="s">
        <v>141</v>
      </c>
      <c r="R31" s="89">
        <v>360</v>
      </c>
      <c r="S31" s="107">
        <v>16120</v>
      </c>
      <c r="T31" s="89"/>
      <c r="U31" s="89"/>
      <c r="V31" s="89"/>
      <c r="W31" s="89"/>
      <c r="X31" s="89"/>
      <c r="Y31" s="89"/>
      <c r="Z31" s="96"/>
      <c r="AA31" s="96"/>
      <c r="AB31" s="93"/>
      <c r="AC31" s="108">
        <f>IF(OR(ISNUMBER(SEARCH("POSTPONED",$F31)),ISNUMBER(SEARCH("NOT APPROVED",$F31))),2,IF(ISNUMBER(SEARCH("COMPLETE",$F31)),3,1))</f>
        <v>3</v>
      </c>
    </row>
    <row r="32" spans="1:29">
      <c r="A32" s="99" t="s">
        <v>209</v>
      </c>
      <c r="B32" s="99" t="s">
        <v>210</v>
      </c>
      <c r="C32" s="99" t="s">
        <v>150</v>
      </c>
      <c r="D32" s="99" t="s">
        <v>151</v>
      </c>
      <c r="E32" s="99" t="s">
        <v>152</v>
      </c>
      <c r="F32" s="99" t="s">
        <v>200</v>
      </c>
      <c r="G32" s="101">
        <v>1</v>
      </c>
      <c r="H32" s="99" t="s">
        <v>133</v>
      </c>
      <c r="I32" s="102">
        <v>45648</v>
      </c>
      <c r="J32" s="102">
        <v>46059</v>
      </c>
      <c r="K32" s="102">
        <v>46081</v>
      </c>
      <c r="L32" s="99" t="s">
        <v>66</v>
      </c>
      <c r="M32" s="103"/>
      <c r="N32" s="103" t="s">
        <v>86</v>
      </c>
      <c r="O32" s="103"/>
      <c r="P32" s="103" t="s">
        <v>74</v>
      </c>
      <c r="Q32" s="99" t="s">
        <v>141</v>
      </c>
      <c r="R32" s="99">
        <v>310</v>
      </c>
      <c r="S32" s="104">
        <v>1625</v>
      </c>
      <c r="T32" s="99"/>
      <c r="U32" s="99"/>
      <c r="V32" s="99"/>
      <c r="W32" s="99"/>
      <c r="X32" s="99"/>
      <c r="Y32" s="99"/>
      <c r="Z32" s="105"/>
      <c r="AA32" s="105"/>
      <c r="AB32" s="103"/>
      <c r="AC32" s="106">
        <f>IF(OR(ISNUMBER(SEARCH("POSTPONED",$F32)),ISNUMBER(SEARCH("NOT APPROVED",$F32))),2,IF(ISNUMBER(SEARCH("COMPLETE",$F32)),3,1))</f>
        <v>3</v>
      </c>
    </row>
    <row r="33" spans="1:29">
      <c r="A33" s="89" t="s">
        <v>211</v>
      </c>
      <c r="B33" s="89" t="s">
        <v>212</v>
      </c>
      <c r="C33" s="89" t="s">
        <v>150</v>
      </c>
      <c r="D33" s="89" t="s">
        <v>138</v>
      </c>
      <c r="E33" s="89" t="s">
        <v>139</v>
      </c>
      <c r="F33" s="89" t="s">
        <v>200</v>
      </c>
      <c r="G33" s="91">
        <v>1</v>
      </c>
      <c r="H33" s="89" t="s">
        <v>133</v>
      </c>
      <c r="I33" s="92">
        <v>45950</v>
      </c>
      <c r="J33" s="92">
        <v>46073</v>
      </c>
      <c r="K33" s="92">
        <v>46073</v>
      </c>
      <c r="L33" s="89" t="s">
        <v>66</v>
      </c>
      <c r="M33" s="93"/>
      <c r="N33" s="93" t="s">
        <v>87</v>
      </c>
      <c r="O33" s="93"/>
      <c r="P33" s="93" t="s">
        <v>72</v>
      </c>
      <c r="Q33" s="89" t="s">
        <v>153</v>
      </c>
      <c r="R33" s="89">
        <v>160</v>
      </c>
      <c r="S33" s="107">
        <v>260</v>
      </c>
      <c r="T33" s="89"/>
      <c r="U33" s="89"/>
      <c r="V33" s="89"/>
      <c r="W33" s="89"/>
      <c r="X33" s="89"/>
      <c r="Y33" s="89"/>
      <c r="Z33" s="96"/>
      <c r="AA33" s="96"/>
      <c r="AB33" s="93"/>
      <c r="AC33" s="108">
        <f>IF(OR(ISNUMBER(SEARCH("POSTPONED",$F33)),ISNUMBER(SEARCH("NOT APPROVED",$F33))),2,IF(ISNUMBER(SEARCH("COMPLETE",$F33)),3,1))</f>
        <v>3</v>
      </c>
    </row>
    <row r="34" spans="1:29">
      <c r="A34" s="99" t="s">
        <v>213</v>
      </c>
      <c r="B34" s="99" t="s">
        <v>214</v>
      </c>
      <c r="C34" s="99" t="s">
        <v>129</v>
      </c>
      <c r="D34" s="99" t="s">
        <v>215</v>
      </c>
      <c r="E34" s="99" t="s">
        <v>216</v>
      </c>
      <c r="F34" s="99" t="s">
        <v>200</v>
      </c>
      <c r="G34" s="101">
        <v>1</v>
      </c>
      <c r="H34" s="99" t="s">
        <v>133</v>
      </c>
      <c r="I34" s="102">
        <v>46034</v>
      </c>
      <c r="J34" s="102">
        <v>46058</v>
      </c>
      <c r="K34" s="102">
        <v>46081</v>
      </c>
      <c r="L34" s="99" t="s">
        <v>66</v>
      </c>
      <c r="M34" s="103"/>
      <c r="N34" s="103" t="s">
        <v>87</v>
      </c>
      <c r="O34" s="103"/>
      <c r="P34" s="103" t="s">
        <v>70</v>
      </c>
      <c r="Q34" s="99" t="s">
        <v>153</v>
      </c>
      <c r="R34" s="99">
        <v>120</v>
      </c>
      <c r="S34" s="104"/>
      <c r="T34" s="99"/>
      <c r="U34" s="99"/>
      <c r="V34" s="99"/>
      <c r="W34" s="99"/>
      <c r="X34" s="99"/>
      <c r="Y34" s="99"/>
      <c r="Z34" s="105"/>
      <c r="AA34" s="105"/>
      <c r="AB34" s="103" t="s">
        <v>217</v>
      </c>
      <c r="AC34" s="106">
        <f>IF(OR(ISNUMBER(SEARCH("POSTPONED",$F34)),ISNUMBER(SEARCH("NOT APPROVED",$F34))),2,IF(ISNUMBER(SEARCH("COMPLETE",$F34)),3,1))</f>
        <v>3</v>
      </c>
    </row>
    <row r="35" spans="1:29">
      <c r="A35" s="89" t="s">
        <v>218</v>
      </c>
      <c r="B35" s="89" t="s">
        <v>219</v>
      </c>
      <c r="C35" s="89" t="s">
        <v>129</v>
      </c>
      <c r="D35" s="89" t="s">
        <v>144</v>
      </c>
      <c r="E35" s="89" t="s">
        <v>145</v>
      </c>
      <c r="F35" s="89" t="s">
        <v>200</v>
      </c>
      <c r="G35" s="91">
        <v>1</v>
      </c>
      <c r="H35" s="89" t="s">
        <v>133</v>
      </c>
      <c r="I35" s="92">
        <v>46003</v>
      </c>
      <c r="J35" s="92">
        <v>46022</v>
      </c>
      <c r="K35" s="92">
        <v>46080</v>
      </c>
      <c r="L35" s="89" t="s">
        <v>26</v>
      </c>
      <c r="M35" s="93"/>
      <c r="N35" s="93"/>
      <c r="O35" s="93"/>
      <c r="P35" s="93" t="s">
        <v>97</v>
      </c>
      <c r="Q35" s="89"/>
      <c r="R35" s="89">
        <v>0</v>
      </c>
      <c r="S35" s="107"/>
      <c r="T35" s="89"/>
      <c r="U35" s="89"/>
      <c r="V35" s="89"/>
      <c r="W35" s="89"/>
      <c r="X35" s="89"/>
      <c r="Y35" s="89"/>
      <c r="Z35" s="96"/>
      <c r="AA35" s="96"/>
      <c r="AB35" s="93"/>
      <c r="AC35" s="108">
        <f>IF(OR(ISNUMBER(SEARCH("POSTPONED",$F35)),ISNUMBER(SEARCH("NOT APPROVED",$F35))),2,IF(ISNUMBER(SEARCH("COMPLETE",$F35)),3,1))</f>
        <v>3</v>
      </c>
    </row>
    <row r="36" spans="1:29">
      <c r="A36" s="99" t="s">
        <v>220</v>
      </c>
      <c r="B36" s="99" t="s">
        <v>221</v>
      </c>
      <c r="C36" s="99" t="s">
        <v>129</v>
      </c>
      <c r="D36" s="99" t="s">
        <v>144</v>
      </c>
      <c r="E36" s="99" t="s">
        <v>145</v>
      </c>
      <c r="F36" s="99" t="s">
        <v>200</v>
      </c>
      <c r="G36" s="101">
        <v>1</v>
      </c>
      <c r="H36" s="99" t="s">
        <v>133</v>
      </c>
      <c r="I36" s="102">
        <v>46013</v>
      </c>
      <c r="J36" s="102">
        <v>46059</v>
      </c>
      <c r="K36" s="102">
        <v>46068</v>
      </c>
      <c r="L36" s="99" t="s">
        <v>26</v>
      </c>
      <c r="M36" s="103"/>
      <c r="N36" s="103"/>
      <c r="O36" s="103"/>
      <c r="P36" s="103" t="s">
        <v>98</v>
      </c>
      <c r="Q36" s="99"/>
      <c r="R36" s="99">
        <v>0</v>
      </c>
      <c r="S36" s="104"/>
      <c r="T36" s="99"/>
      <c r="U36" s="99"/>
      <c r="V36" s="99"/>
      <c r="W36" s="99"/>
      <c r="X36" s="99"/>
      <c r="Y36" s="99"/>
      <c r="Z36" s="105"/>
      <c r="AA36" s="105"/>
      <c r="AB36" s="103"/>
      <c r="AC36" s="106">
        <f>IF(OR(ISNUMBER(SEARCH("POSTPONED",$F36)),ISNUMBER(SEARCH("NOT APPROVED",$F36))),2,IF(ISNUMBER(SEARCH("COMPLETE",$F36)),3,1))</f>
        <v>3</v>
      </c>
    </row>
    <row r="37" spans="1:29">
      <c r="A37" s="89" t="s">
        <v>222</v>
      </c>
      <c r="B37" s="89" t="s">
        <v>223</v>
      </c>
      <c r="C37" s="89" t="s">
        <v>150</v>
      </c>
      <c r="D37" s="89" t="s">
        <v>215</v>
      </c>
      <c r="E37" s="89" t="s">
        <v>216</v>
      </c>
      <c r="F37" s="89" t="s">
        <v>200</v>
      </c>
      <c r="G37" s="91">
        <v>1</v>
      </c>
      <c r="H37" s="89" t="s">
        <v>133</v>
      </c>
      <c r="I37" s="92"/>
      <c r="J37" s="92"/>
      <c r="K37" s="92"/>
      <c r="L37" s="89" t="s">
        <v>23</v>
      </c>
      <c r="M37" s="93"/>
      <c r="N37" s="93"/>
      <c r="O37" s="93"/>
      <c r="P37" s="93"/>
      <c r="Q37" s="89" t="s">
        <v>165</v>
      </c>
      <c r="R37" s="89">
        <v>40</v>
      </c>
      <c r="S37" s="107"/>
      <c r="T37" s="89"/>
      <c r="U37" s="89"/>
      <c r="V37" s="89"/>
      <c r="W37" s="89"/>
      <c r="X37" s="89"/>
      <c r="Y37" s="89"/>
      <c r="Z37" s="96"/>
      <c r="AA37" s="96"/>
      <c r="AB37" s="93"/>
      <c r="AC37" s="108">
        <f>IF(OR(ISNUMBER(SEARCH("POSTPONED",$F37)),ISNUMBER(SEARCH("NOT APPROVED",$F37))),2,IF(ISNUMBER(SEARCH("COMPLETE",$F37)),3,1))</f>
        <v>3</v>
      </c>
    </row>
    <row r="38" spans="1:29">
      <c r="A38" s="99" t="s">
        <v>224</v>
      </c>
      <c r="B38" s="99" t="s">
        <v>225</v>
      </c>
      <c r="C38" s="99" t="s">
        <v>129</v>
      </c>
      <c r="D38" s="99" t="s">
        <v>151</v>
      </c>
      <c r="E38" s="99" t="s">
        <v>152</v>
      </c>
      <c r="F38" s="99" t="s">
        <v>200</v>
      </c>
      <c r="G38" s="101">
        <v>1</v>
      </c>
      <c r="H38" s="99" t="s">
        <v>133</v>
      </c>
      <c r="I38" s="102">
        <v>45957</v>
      </c>
      <c r="J38" s="102">
        <v>46020</v>
      </c>
      <c r="K38" s="102">
        <v>46031</v>
      </c>
      <c r="L38" s="99" t="s">
        <v>66</v>
      </c>
      <c r="M38" s="103"/>
      <c r="N38" s="103" t="s">
        <v>86</v>
      </c>
      <c r="O38" s="103"/>
      <c r="P38" s="103" t="s">
        <v>72</v>
      </c>
      <c r="Q38" s="99"/>
      <c r="R38" s="99">
        <v>320</v>
      </c>
      <c r="S38" s="104"/>
      <c r="T38" s="99"/>
      <c r="U38" s="99"/>
      <c r="V38" s="99"/>
      <c r="W38" s="99"/>
      <c r="X38" s="99"/>
      <c r="Y38" s="99"/>
      <c r="Z38" s="105"/>
      <c r="AA38" s="105"/>
      <c r="AB38" s="103"/>
      <c r="AC38" s="106">
        <f>IF(OR(ISNUMBER(SEARCH("POSTPONED",$F38)),ISNUMBER(SEARCH("NOT APPROVED",$F38))),2,IF(ISNUMBER(SEARCH("COMPLETE",$F38)),3,1))</f>
        <v>3</v>
      </c>
    </row>
    <row r="39" spans="1:29">
      <c r="A39" s="89" t="s">
        <v>226</v>
      </c>
      <c r="B39" s="89" t="s">
        <v>227</v>
      </c>
      <c r="C39" s="89" t="s">
        <v>150</v>
      </c>
      <c r="D39" s="89" t="s">
        <v>130</v>
      </c>
      <c r="E39" s="89" t="s">
        <v>131</v>
      </c>
      <c r="F39" s="89" t="s">
        <v>200</v>
      </c>
      <c r="G39" s="91">
        <v>1</v>
      </c>
      <c r="H39" s="89" t="s">
        <v>171</v>
      </c>
      <c r="I39" s="92"/>
      <c r="J39" s="92"/>
      <c r="K39" s="92"/>
      <c r="L39" s="89" t="s">
        <v>23</v>
      </c>
      <c r="M39" s="93"/>
      <c r="N39" s="93" t="s">
        <v>87</v>
      </c>
      <c r="O39" s="93"/>
      <c r="P39" s="93"/>
      <c r="Q39" s="89" t="s">
        <v>165</v>
      </c>
      <c r="R39" s="89">
        <v>40</v>
      </c>
      <c r="S39" s="107"/>
      <c r="T39" s="89"/>
      <c r="U39" s="89"/>
      <c r="V39" s="89"/>
      <c r="W39" s="89"/>
      <c r="X39" s="89"/>
      <c r="Y39" s="89"/>
      <c r="Z39" s="96"/>
      <c r="AA39" s="96"/>
      <c r="AB39" s="93"/>
      <c r="AC39" s="108">
        <f>IF(OR(ISNUMBER(SEARCH("POSTPONED",$F39)),ISNUMBER(SEARCH("NOT APPROVED",$F39))),2,IF(ISNUMBER(SEARCH("COMPLETE",$F39)),3,1))</f>
        <v>3</v>
      </c>
    </row>
    <row r="40" spans="1:29">
      <c r="A40" s="99" t="s">
        <v>228</v>
      </c>
      <c r="B40" s="99" t="s">
        <v>229</v>
      </c>
      <c r="C40" s="99" t="s">
        <v>150</v>
      </c>
      <c r="D40" s="99" t="s">
        <v>163</v>
      </c>
      <c r="E40" s="99" t="s">
        <v>230</v>
      </c>
      <c r="F40" s="99" t="s">
        <v>200</v>
      </c>
      <c r="G40" s="101">
        <v>0.1</v>
      </c>
      <c r="H40" s="99" t="s">
        <v>171</v>
      </c>
      <c r="I40" s="102"/>
      <c r="J40" s="102"/>
      <c r="K40" s="102"/>
      <c r="L40" s="99" t="s">
        <v>66</v>
      </c>
      <c r="M40" s="103"/>
      <c r="N40" s="103" t="s">
        <v>86</v>
      </c>
      <c r="O40" s="103"/>
      <c r="P40" s="103"/>
      <c r="Q40" s="99" t="s">
        <v>165</v>
      </c>
      <c r="R40" s="99">
        <v>80</v>
      </c>
      <c r="S40" s="104"/>
      <c r="T40" s="99"/>
      <c r="U40" s="99"/>
      <c r="V40" s="99"/>
      <c r="W40" s="99"/>
      <c r="X40" s="99"/>
      <c r="Y40" s="99"/>
      <c r="Z40" s="105"/>
      <c r="AA40" s="105"/>
      <c r="AB40" s="103"/>
      <c r="AC40" s="106">
        <f>IF(OR(ISNUMBER(SEARCH("POSTPONED",$F40)),ISNUMBER(SEARCH("NOT APPROVED",$F40))),2,IF(ISNUMBER(SEARCH("COMPLETE",$F40)),3,1))</f>
        <v>3</v>
      </c>
    </row>
    <row r="41" spans="1:29">
      <c r="A41" s="89" t="s">
        <v>231</v>
      </c>
      <c r="B41" s="89" t="s">
        <v>232</v>
      </c>
      <c r="C41" s="89" t="s">
        <v>150</v>
      </c>
      <c r="D41" s="89" t="s">
        <v>151</v>
      </c>
      <c r="E41" s="89" t="s">
        <v>152</v>
      </c>
      <c r="F41" s="89" t="s">
        <v>200</v>
      </c>
      <c r="G41" s="91">
        <v>1</v>
      </c>
      <c r="H41" s="89" t="s">
        <v>133</v>
      </c>
      <c r="I41" s="92"/>
      <c r="J41" s="92"/>
      <c r="K41" s="92"/>
      <c r="L41" s="89" t="s">
        <v>66</v>
      </c>
      <c r="M41" s="93"/>
      <c r="N41" s="93" t="s">
        <v>86</v>
      </c>
      <c r="O41" s="93"/>
      <c r="P41" s="93"/>
      <c r="Q41" s="89" t="s">
        <v>141</v>
      </c>
      <c r="R41" s="89">
        <v>320</v>
      </c>
      <c r="S41" s="107"/>
      <c r="T41" s="89"/>
      <c r="U41" s="89"/>
      <c r="V41" s="89"/>
      <c r="W41" s="89"/>
      <c r="X41" s="89"/>
      <c r="Y41" s="89"/>
      <c r="Z41" s="96"/>
      <c r="AA41" s="96"/>
      <c r="AB41" s="93"/>
      <c r="AC41" s="108">
        <f>IF(OR(ISNUMBER(SEARCH("POSTPONED",$F41)),ISNUMBER(SEARCH("NOT APPROVED",$F41))),2,IF(ISNUMBER(SEARCH("COMPLETE",$F41)),3,1))</f>
        <v>3</v>
      </c>
    </row>
    <row r="42" spans="1:29">
      <c r="A42" s="111" t="s">
        <v>233</v>
      </c>
      <c r="B42" s="111" t="s">
        <v>234</v>
      </c>
      <c r="C42" s="111" t="s">
        <v>150</v>
      </c>
      <c r="D42" s="111" t="s">
        <v>144</v>
      </c>
      <c r="E42" s="111" t="s">
        <v>145</v>
      </c>
      <c r="F42" s="111" t="s">
        <v>200</v>
      </c>
      <c r="G42" s="112">
        <v>0</v>
      </c>
      <c r="H42" s="111" t="s">
        <v>133</v>
      </c>
      <c r="I42" s="113">
        <v>46084</v>
      </c>
      <c r="J42" s="113">
        <v>46094</v>
      </c>
      <c r="K42" s="113"/>
      <c r="L42" s="111" t="s">
        <v>23</v>
      </c>
      <c r="M42" s="114"/>
      <c r="N42" s="114" t="s">
        <v>78</v>
      </c>
      <c r="O42" s="114"/>
      <c r="P42" s="114" t="s">
        <v>81</v>
      </c>
      <c r="Q42" s="111" t="s">
        <v>165</v>
      </c>
      <c r="R42" s="111">
        <v>40</v>
      </c>
      <c r="S42" s="115"/>
      <c r="T42" s="111"/>
      <c r="U42" s="111"/>
      <c r="V42" s="111"/>
      <c r="W42" s="111"/>
      <c r="X42" s="111"/>
      <c r="Y42" s="111"/>
      <c r="Z42" s="116"/>
      <c r="AA42" s="116"/>
      <c r="AB42" s="114"/>
      <c r="AC42" s="118">
        <f>IF(OR(ISNUMBER(SEARCH("POSTPONED",$F42)),ISNUMBER(SEARCH("NOT APPROVED",$F42))),2,IF(ISNUMBER(SEARCH("COMPLETE",$F42)),3,1))</f>
        <v>3</v>
      </c>
    </row>
  </sheetData>
  <sheetProtection sheet="1" objects="1" scenarios="1"/>
  <mergeCells count="1">
    <mergeCell ref="A1:AB1"/>
  </mergeCells>
  <dataValidations count="8">
    <dataValidation type="list" allowBlank="1" showInputMessage="1" showErrorMessage="1" sqref="F43" xr:uid="{EF2B4956-A901-4285-92F8-51E5FACDA375}">
      <formula1>"""🟢 ON TRACK,🟡 AT RISK,🔴 NEEDS ATTENTION,⚪ NOT STARTED,🔵 ON HOLD,✅ COMPLETE,📋 NEEDS TECHNICAL SPEC,📋 NEEDS FUNCTIONAL SPEC,⏳ AWAITING APPROVAL,⏸️ POSTPONED,🚫 NOT APPROVED"""</formula1>
    </dataValidation>
    <dataValidation type="list" allowBlank="1" showInputMessage="1" showErrorMessage="1" sqref="D43" xr:uid="{2C79DAE6-1738-4F94-9EBF-E0C9E18872A4}">
      <formula1>"""Sales &amp; Distribution,Engineering,Information Technology,Supply Chain,Finance,Human Resources,Marketing"""</formula1>
    </dataValidation>
    <dataValidation type="list" allowBlank="1" showInputMessage="1" showErrorMessage="1" sqref="D2:D42" xr:uid="{8007EFA9-BCD8-4D7C-B711-2FBAD783ED95}">
      <formula1>"Sales &amp; Distribution,Engineering,Information Technology,Supply Chain,Finance,Human Resources,Marketing"</formula1>
    </dataValidation>
    <dataValidation type="list" allowBlank="1" showInputMessage="1" showErrorMessage="1" sqref="M4:M42" xr:uid="{1A7588A1-3560-4C21-ACB7-68ECF7DFD3C8}">
      <formula1>"Emily Fridley,Brett Anderson"</formula1>
    </dataValidation>
    <dataValidation type="list" allowBlank="1" showInputMessage="1" showErrorMessage="1" sqref="N4:N42" xr:uid="{8EEB05C8-74AB-4B27-83A5-4F1B66B23013}">
      <formula1>"Jim Young,Audrey Debaere,Cristian Varelas,Ryan Picado"</formula1>
    </dataValidation>
    <dataValidation type="list" allowBlank="1" showInputMessage="1" showErrorMessage="1" sqref="O4:O42" xr:uid="{45A77DC4-A830-4B6F-9CBA-63A935D95805}">
      <formula1>"Ajay Kumar,Deepak Gudwani"</formula1>
    </dataValidation>
    <dataValidation type="list" allowBlank="1" showInputMessage="1" showErrorMessage="1" sqref="P4:P42" xr:uid="{058AEF7A-6A8C-4C0E-B759-F06703C5B4CA}">
      <formula1>"Ravindra Reddy,Vishnu Premen,Sangamesh Koti,Bhavya Reddy,Sarath Yeturu,Vinod Bollepally,Alex Young,Nick Smith,Colin Olson,Jonathon Gonzalez,Justin Senour,Michael House,Donna Wiedemeier"</formula1>
    </dataValidation>
    <dataValidation type="list" allowBlank="1" showInputMessage="1" showErrorMessage="1" sqref="F4:F42" xr:uid="{9554EC6B-8EE5-438A-977B-82BEA60E9F43}">
      <formula1>"🟢 ON TRACK,🟡 AT RISK,🔴 NEEDS ATTENTION,⚪ NOT STARTED,🔵 ON HOLD,✅ COMPLETE,📋 NEEDS TECHNICAL SPEC,📋 NEEDS FUNCTIONAL SPEC,⏳ AWAITING APPROVAL,⏸️ POSTPONED,🚫 NOT APPROVED"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B4513"/>
  </sheetPr>
  <dimension ref="A1:BF33"/>
  <sheetViews>
    <sheetView zoomScaleNormal="100" workbookViewId="0">
      <pane xSplit="6" ySplit="4" topLeftCell="G5" activePane="bottomRight" state="frozen"/>
      <selection pane="bottomRight" activeCell="G10" sqref="G10"/>
      <selection pane="bottomLeft" activeCell="A5" sqref="A5"/>
      <selection pane="topRight" activeCell="I1" sqref="I1"/>
    </sheetView>
  </sheetViews>
  <sheetFormatPr defaultColWidth="8.7109375" defaultRowHeight="15"/>
  <cols>
    <col min="1" max="1" width="4" customWidth="1"/>
    <col min="2" max="2" width="12" customWidth="1"/>
    <col min="3" max="3" width="35" customWidth="1"/>
    <col min="4" max="4" width="26.5703125" customWidth="1"/>
    <col min="5" max="5" width="10" customWidth="1"/>
    <col min="6" max="6" width="12.7109375" customWidth="1"/>
    <col min="7" max="58" width="7.7109375" customWidth="1"/>
  </cols>
  <sheetData>
    <row r="1" spans="1:58" ht="18">
      <c r="A1" s="269" t="s">
        <v>235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269"/>
      <c r="AB1" s="269"/>
      <c r="AC1" s="269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>
      <c r="A2" s="27" t="s">
        <v>236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>
      <c r="A3" s="3"/>
      <c r="B3" s="3"/>
      <c r="C3" s="3"/>
      <c r="D3" s="3"/>
      <c r="E3" s="3"/>
      <c r="F3" s="3"/>
      <c r="G3" s="265" t="s">
        <v>237</v>
      </c>
      <c r="H3" s="265"/>
      <c r="I3" s="265"/>
      <c r="J3" s="265"/>
      <c r="K3" s="265" t="s">
        <v>238</v>
      </c>
      <c r="L3" s="265"/>
      <c r="M3" s="265"/>
      <c r="N3" s="265"/>
      <c r="O3" s="265" t="s">
        <v>239</v>
      </c>
      <c r="P3" s="265"/>
      <c r="Q3" s="266"/>
      <c r="R3" s="267"/>
      <c r="S3" s="268"/>
      <c r="T3" s="265" t="s">
        <v>240</v>
      </c>
      <c r="U3" s="265"/>
      <c r="V3" s="265"/>
      <c r="W3" s="265"/>
      <c r="X3" s="265" t="s">
        <v>241</v>
      </c>
      <c r="Y3" s="265"/>
      <c r="Z3" s="265"/>
      <c r="AA3" s="265"/>
      <c r="AB3" s="265" t="s">
        <v>242</v>
      </c>
      <c r="AC3" s="265"/>
      <c r="AD3" s="265"/>
      <c r="AE3" s="265"/>
      <c r="AF3" s="265"/>
      <c r="AG3" s="265" t="s">
        <v>243</v>
      </c>
      <c r="AH3" s="265"/>
      <c r="AI3" s="265"/>
      <c r="AJ3" s="265"/>
      <c r="AK3" s="265" t="s">
        <v>244</v>
      </c>
      <c r="AL3" s="265"/>
      <c r="AM3" s="265"/>
      <c r="AN3" s="265"/>
      <c r="AO3" s="265"/>
      <c r="AP3" s="265" t="s">
        <v>245</v>
      </c>
      <c r="AQ3" s="265"/>
      <c r="AR3" s="265"/>
      <c r="AS3" s="265"/>
      <c r="AT3" s="265" t="s">
        <v>246</v>
      </c>
      <c r="AU3" s="265"/>
      <c r="AV3" s="265"/>
      <c r="AW3" s="265"/>
      <c r="AX3" s="265" t="s">
        <v>247</v>
      </c>
      <c r="AY3" s="265"/>
      <c r="AZ3" s="265"/>
      <c r="BA3" s="265"/>
      <c r="BB3" s="265"/>
      <c r="BC3" s="265" t="s">
        <v>248</v>
      </c>
      <c r="BD3" s="265"/>
      <c r="BE3" s="265"/>
      <c r="BF3" s="265"/>
    </row>
    <row r="4" spans="1:58">
      <c r="A4" s="28" t="s">
        <v>249</v>
      </c>
      <c r="B4" s="28" t="s">
        <v>250</v>
      </c>
      <c r="C4" s="28" t="s">
        <v>103</v>
      </c>
      <c r="D4" s="28" t="s">
        <v>107</v>
      </c>
      <c r="E4" s="28" t="s">
        <v>251</v>
      </c>
      <c r="F4" s="28" t="s">
        <v>252</v>
      </c>
      <c r="G4" s="29">
        <v>46027</v>
      </c>
      <c r="H4" s="29">
        <v>46034</v>
      </c>
      <c r="I4" s="29">
        <v>46041</v>
      </c>
      <c r="J4" s="29">
        <v>46048</v>
      </c>
      <c r="K4" s="29">
        <v>46055</v>
      </c>
      <c r="L4" s="29">
        <v>46062</v>
      </c>
      <c r="M4" s="29">
        <v>46069</v>
      </c>
      <c r="N4" s="29">
        <v>46076</v>
      </c>
      <c r="O4" s="30">
        <v>46083</v>
      </c>
      <c r="P4" s="31">
        <v>46090</v>
      </c>
      <c r="Q4" s="32">
        <v>46097</v>
      </c>
      <c r="R4" s="33">
        <v>46104</v>
      </c>
      <c r="S4" s="34">
        <v>46111</v>
      </c>
      <c r="T4" s="29">
        <v>46118</v>
      </c>
      <c r="U4" s="29">
        <v>46125</v>
      </c>
      <c r="V4" s="29">
        <v>46132</v>
      </c>
      <c r="W4" s="29">
        <v>46139</v>
      </c>
      <c r="X4" s="29">
        <v>46146</v>
      </c>
      <c r="Y4" s="29">
        <v>46153</v>
      </c>
      <c r="Z4" s="29">
        <v>46160</v>
      </c>
      <c r="AA4" s="29">
        <v>46167</v>
      </c>
      <c r="AB4" s="29">
        <v>46174</v>
      </c>
      <c r="AC4" s="29">
        <v>46181</v>
      </c>
      <c r="AD4" s="29">
        <v>46188</v>
      </c>
      <c r="AE4" s="29">
        <v>46195</v>
      </c>
      <c r="AF4" s="29">
        <v>46202</v>
      </c>
      <c r="AG4" s="29">
        <v>46209</v>
      </c>
      <c r="AH4" s="29">
        <v>46216</v>
      </c>
      <c r="AI4" s="29">
        <v>46223</v>
      </c>
      <c r="AJ4" s="29">
        <v>46230</v>
      </c>
      <c r="AK4" s="29">
        <v>46237</v>
      </c>
      <c r="AL4" s="29">
        <v>46244</v>
      </c>
      <c r="AM4" s="29">
        <v>46251</v>
      </c>
      <c r="AN4" s="29">
        <v>46258</v>
      </c>
      <c r="AO4" s="29">
        <v>46265</v>
      </c>
      <c r="AP4" s="29">
        <v>46272</v>
      </c>
      <c r="AQ4" s="29">
        <v>46279</v>
      </c>
      <c r="AR4" s="29">
        <v>46286</v>
      </c>
      <c r="AS4" s="29">
        <v>46293</v>
      </c>
      <c r="AT4" s="29">
        <v>46300</v>
      </c>
      <c r="AU4" s="29">
        <v>46307</v>
      </c>
      <c r="AV4" s="29">
        <v>46314</v>
      </c>
      <c r="AW4" s="29">
        <v>46321</v>
      </c>
      <c r="AX4" s="29">
        <v>46328</v>
      </c>
      <c r="AY4" s="29">
        <v>46335</v>
      </c>
      <c r="AZ4" s="29">
        <v>46342</v>
      </c>
      <c r="BA4" s="29">
        <v>46349</v>
      </c>
      <c r="BB4" s="29">
        <v>46356</v>
      </c>
      <c r="BC4" s="29">
        <v>46363</v>
      </c>
      <c r="BD4" s="29">
        <v>46370</v>
      </c>
      <c r="BE4" s="29">
        <v>46377</v>
      </c>
      <c r="BF4" s="29">
        <v>46384</v>
      </c>
    </row>
    <row r="5" spans="1:58">
      <c r="A5" s="43">
        <v>1</v>
      </c>
      <c r="B5" s="36" t="str" cm="1">
        <f t="array" ref="B5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ETE-19</v>
      </c>
      <c r="C5" s="37" t="str" cm="1">
        <f t="array" ref="C5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Changes to AR Aging Report</v>
      </c>
      <c r="D5" s="36" t="str" cm="1">
        <f t="array" ref="D5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🟢 ON TRACK</v>
      </c>
      <c r="E5" s="38" cm="1">
        <f t="array" ref="E5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>46076</v>
      </c>
      <c r="F5" s="39" cm="1">
        <f t="array" ref="F5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>46129</v>
      </c>
      <c r="G5" s="40" t="str">
        <f>IF(AND($E5&gt;0,$F5&gt;0,G$4+6&gt;=$E5,G$4&lt;=$F5),1,"")</f>
        <v/>
      </c>
      <c r="H5" s="40" t="str">
        <f>IF(AND($E5&gt;0,$F5&gt;0,H$4+6&gt;=$E5,H$4&lt;=$F5),1,"")</f>
        <v/>
      </c>
      <c r="I5" s="40" t="str">
        <f>IF(AND($E5&gt;0,$F5&gt;0,I$4+6&gt;=$E5,I$4&lt;=$F5),1,"")</f>
        <v/>
      </c>
      <c r="J5" s="40" t="str">
        <f>IF(AND($E5&gt;0,$F5&gt;0,J$4+6&gt;=$E5,J$4&lt;=$F5),1,"")</f>
        <v/>
      </c>
      <c r="K5" s="40" t="str">
        <f>IF(AND($E5&gt;0,$F5&gt;0,K$4+6&gt;=$E5,K$4&lt;=$F5),1,"")</f>
        <v/>
      </c>
      <c r="L5" s="40" t="str">
        <f>IF(AND($E5&gt;0,$F5&gt;0,L$4+6&gt;=$E5,L$4&lt;=$F5),1,"")</f>
        <v/>
      </c>
      <c r="M5" s="40" t="str">
        <f>IF(AND($E5&gt;0,$F5&gt;0,M$4+6&gt;=$E5,M$4&lt;=$F5),1,"")</f>
        <v/>
      </c>
      <c r="N5" s="40">
        <f>IF(AND($E5&gt;0,$F5&gt;0,N$4+6&gt;=$E5,N$4&lt;=$F5),1,"")</f>
        <v>1</v>
      </c>
      <c r="O5" s="40">
        <f>IF(AND($E5&gt;0,$F5&gt;0,O$4+6&gt;=$E5,O$4&lt;=$F5),1,"")</f>
        <v>1</v>
      </c>
      <c r="P5" s="41">
        <f>IF(AND($E5&gt;0,$F5&gt;0,P$4+6&gt;=$E5,P$4&lt;=$F5),1,"")</f>
        <v>1</v>
      </c>
      <c r="Q5" s="41">
        <f>IF(AND($E5&gt;0,$F5&gt;0,Q$4+6&gt;=$E5,Q$4&lt;=$F5),1,"")</f>
        <v>1</v>
      </c>
      <c r="R5" s="42">
        <f>IF(AND($E5&gt;0,$F5&gt;0,R$4+6&gt;=$E5,R$4&lt;=$F5),1,"")</f>
        <v>1</v>
      </c>
      <c r="S5" s="40">
        <f>IF(AND($E5&gt;0,$F5&gt;0,S$4+6&gt;=$E5,S$4&lt;=$F5),1,"")</f>
        <v>1</v>
      </c>
      <c r="T5" s="40">
        <f>IF(AND($E5&gt;0,$F5&gt;0,T$4+6&gt;=$E5,T$4&lt;=$F5),1,"")</f>
        <v>1</v>
      </c>
      <c r="U5" s="40">
        <f>IF(AND($E5&gt;0,$F5&gt;0,U$4+6&gt;=$E5,U$4&lt;=$F5),1,"")</f>
        <v>1</v>
      </c>
      <c r="V5" s="40" t="str">
        <f>IF(AND($E5&gt;0,$F5&gt;0,V$4+6&gt;=$E5,V$4&lt;=$F5),1,"")</f>
        <v/>
      </c>
      <c r="W5" s="40" t="str">
        <f>IF(AND($E5&gt;0,$F5&gt;0,W$4+6&gt;=$E5,W$4&lt;=$F5),1,"")</f>
        <v/>
      </c>
      <c r="X5" s="40" t="str">
        <f>IF(AND($E5&gt;0,$F5&gt;0,X$4+6&gt;=$E5,X$4&lt;=$F5),1,"")</f>
        <v/>
      </c>
      <c r="Y5" s="40" t="str">
        <f>IF(AND($E5&gt;0,$F5&gt;0,Y$4+6&gt;=$E5,Y$4&lt;=$F5),1,"")</f>
        <v/>
      </c>
      <c r="Z5" s="40" t="str">
        <f>IF(AND($E5&gt;0,$F5&gt;0,Z$4+6&gt;=$E5,Z$4&lt;=$F5),1,"")</f>
        <v/>
      </c>
      <c r="AA5" s="40" t="str">
        <f>IF(AND($E5&gt;0,$F5&gt;0,AA$4+6&gt;=$E5,AA$4&lt;=$F5),1,"")</f>
        <v/>
      </c>
      <c r="AB5" s="40" t="str">
        <f>IF(AND($E5&gt;0,$F5&gt;0,AB$4+6&gt;=$E5,AB$4&lt;=$F5),1,"")</f>
        <v/>
      </c>
      <c r="AC5" s="40" t="str">
        <f>IF(AND($E5&gt;0,$F5&gt;0,AC$4+6&gt;=$E5,AC$4&lt;=$F5),1,"")</f>
        <v/>
      </c>
      <c r="AD5" s="40" t="str">
        <f>IF(AND($E5&gt;0,$F5&gt;0,AD$4+6&gt;=$E5,AD$4&lt;=$F5),1,"")</f>
        <v/>
      </c>
      <c r="AE5" s="40" t="str">
        <f>IF(AND($E5&gt;0,$F5&gt;0,AE$4+6&gt;=$E5,AE$4&lt;=$F5),1,"")</f>
        <v/>
      </c>
      <c r="AF5" s="40" t="str">
        <f>IF(AND($E5&gt;0,$F5&gt;0,AF$4+6&gt;=$E5,AF$4&lt;=$F5),1,"")</f>
        <v/>
      </c>
      <c r="AG5" s="40" t="str">
        <f>IF(AND($E5&gt;0,$F5&gt;0,AG$4+6&gt;=$E5,AG$4&lt;=$F5),1,"")</f>
        <v/>
      </c>
      <c r="AH5" s="40" t="str">
        <f>IF(AND($E5&gt;0,$F5&gt;0,AH$4+6&gt;=$E5,AH$4&lt;=$F5),1,"")</f>
        <v/>
      </c>
      <c r="AI5" s="40" t="str">
        <f>IF(AND($E5&gt;0,$F5&gt;0,AI$4+6&gt;=$E5,AI$4&lt;=$F5),1,"")</f>
        <v/>
      </c>
      <c r="AJ5" s="40" t="str">
        <f>IF(AND($E5&gt;0,$F5&gt;0,AJ$4+6&gt;=$E5,AJ$4&lt;=$F5),1,"")</f>
        <v/>
      </c>
      <c r="AK5" s="40" t="str">
        <f>IF(AND($E5&gt;0,$F5&gt;0,AK$4+6&gt;=$E5,AK$4&lt;=$F5),1,"")</f>
        <v/>
      </c>
      <c r="AL5" s="40" t="str">
        <f>IF(AND($E5&gt;0,$F5&gt;0,AL$4+6&gt;=$E5,AL$4&lt;=$F5),1,"")</f>
        <v/>
      </c>
      <c r="AM5" s="40" t="str">
        <f>IF(AND($E5&gt;0,$F5&gt;0,AM$4+6&gt;=$E5,AM$4&lt;=$F5),1,"")</f>
        <v/>
      </c>
      <c r="AN5" s="40" t="str">
        <f>IF(AND($E5&gt;0,$F5&gt;0,AN$4+6&gt;=$E5,AN$4&lt;=$F5),1,"")</f>
        <v/>
      </c>
      <c r="AO5" s="40" t="str">
        <f>IF(AND($E5&gt;0,$F5&gt;0,AO$4+6&gt;=$E5,AO$4&lt;=$F5),1,"")</f>
        <v/>
      </c>
      <c r="AP5" s="40" t="str">
        <f>IF(AND($E5&gt;0,$F5&gt;0,AP$4+6&gt;=$E5,AP$4&lt;=$F5),1,"")</f>
        <v/>
      </c>
      <c r="AQ5" s="40" t="str">
        <f>IF(AND($E5&gt;0,$F5&gt;0,AQ$4+6&gt;=$E5,AQ$4&lt;=$F5),1,"")</f>
        <v/>
      </c>
      <c r="AR5" s="40" t="str">
        <f>IF(AND($E5&gt;0,$F5&gt;0,AR$4+6&gt;=$E5,AR$4&lt;=$F5),1,"")</f>
        <v/>
      </c>
      <c r="AS5" s="40" t="str">
        <f>IF(AND($E5&gt;0,$F5&gt;0,AS$4+6&gt;=$E5,AS$4&lt;=$F5),1,"")</f>
        <v/>
      </c>
      <c r="AT5" s="40" t="str">
        <f>IF(AND($E5&gt;0,$F5&gt;0,AT$4+6&gt;=$E5,AT$4&lt;=$F5),1,"")</f>
        <v/>
      </c>
      <c r="AU5" s="40" t="str">
        <f>IF(AND($E5&gt;0,$F5&gt;0,AU$4+6&gt;=$E5,AU$4&lt;=$F5),1,"")</f>
        <v/>
      </c>
      <c r="AV5" s="40" t="str">
        <f>IF(AND($E5&gt;0,$F5&gt;0,AV$4+6&gt;=$E5,AV$4&lt;=$F5),1,"")</f>
        <v/>
      </c>
      <c r="AW5" s="40" t="str">
        <f>IF(AND($E5&gt;0,$F5&gt;0,AW$4+6&gt;=$E5,AW$4&lt;=$F5),1,"")</f>
        <v/>
      </c>
      <c r="AX5" s="40" t="str">
        <f>IF(AND($E5&gt;0,$F5&gt;0,AX$4+6&gt;=$E5,AX$4&lt;=$F5),1,"")</f>
        <v/>
      </c>
      <c r="AY5" s="40" t="str">
        <f>IF(AND($E5&gt;0,$F5&gt;0,AY$4+6&gt;=$E5,AY$4&lt;=$F5),1,"")</f>
        <v/>
      </c>
      <c r="AZ5" s="40" t="str">
        <f>IF(AND($E5&gt;0,$F5&gt;0,AZ$4+6&gt;=$E5,AZ$4&lt;=$F5),1,"")</f>
        <v/>
      </c>
      <c r="BA5" s="40" t="str">
        <f>IF(AND($E5&gt;0,$F5&gt;0,BA$4+6&gt;=$E5,BA$4&lt;=$F5),1,"")</f>
        <v/>
      </c>
      <c r="BB5" s="40" t="str">
        <f>IF(AND($E5&gt;0,$F5&gt;0,BB$4+6&gt;=$E5,BB$4&lt;=$F5),1,"")</f>
        <v/>
      </c>
      <c r="BC5" s="40" t="str">
        <f>IF(AND($E5&gt;0,$F5&gt;0,BC$4+6&gt;=$E5,BC$4&lt;=$F5),1,"")</f>
        <v/>
      </c>
      <c r="BD5" s="40" t="str">
        <f>IF(AND($E5&gt;0,$F5&gt;0,BD$4+6&gt;=$E5,BD$4&lt;=$F5),1,"")</f>
        <v/>
      </c>
      <c r="BE5" s="40" t="str">
        <f>IF(AND($E5&gt;0,$F5&gt;0,BE$4+6&gt;=$E5,BE$4&lt;=$F5),1,"")</f>
        <v/>
      </c>
      <c r="BF5" s="40" t="str">
        <f>IF(AND($E5&gt;0,$F5&gt;0,BF$4+6&gt;=$E5,BF$4&lt;=$F5),1,"")</f>
        <v/>
      </c>
    </row>
    <row r="6" spans="1:58">
      <c r="A6" s="43">
        <v>2</v>
      </c>
      <c r="B6" s="36" t="str" cm="1">
        <f t="array" ref="B6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ETE-68</v>
      </c>
      <c r="C6" s="37" t="str" cm="1">
        <f t="array" ref="C6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Catalog API Rust2Python</v>
      </c>
      <c r="D6" s="36" t="str" cm="1">
        <f t="array" ref="D6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🟢 ON TRACK</v>
      </c>
      <c r="E6" s="38" cm="1">
        <f t="array" ref="E6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>45978</v>
      </c>
      <c r="F6" s="39" cm="1">
        <f t="array" ref="F6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>46136</v>
      </c>
      <c r="G6" s="40">
        <f t="shared" ref="G6:V24" si="0">IF(AND($E6&gt;0,$F6&gt;0,G$4+6&gt;=$E6,G$4&lt;=$F6),1,"")</f>
        <v>1</v>
      </c>
      <c r="H6" s="40">
        <f t="shared" ref="H6:BF6" si="1">IF(AND($E6&gt;0,$F6&gt;0,H$4+6&gt;=$E6,H$4&lt;=$F6),1,"")</f>
        <v>1</v>
      </c>
      <c r="I6" s="40">
        <f t="shared" si="1"/>
        <v>1</v>
      </c>
      <c r="J6" s="40">
        <f t="shared" si="1"/>
        <v>1</v>
      </c>
      <c r="K6" s="40">
        <f t="shared" si="1"/>
        <v>1</v>
      </c>
      <c r="L6" s="40">
        <f t="shared" si="1"/>
        <v>1</v>
      </c>
      <c r="M6" s="40">
        <f t="shared" si="1"/>
        <v>1</v>
      </c>
      <c r="N6" s="40">
        <f t="shared" si="1"/>
        <v>1</v>
      </c>
      <c r="O6" s="40">
        <f t="shared" si="1"/>
        <v>1</v>
      </c>
      <c r="P6" s="41">
        <f t="shared" si="1"/>
        <v>1</v>
      </c>
      <c r="Q6" s="41">
        <f t="shared" si="1"/>
        <v>1</v>
      </c>
      <c r="R6" s="42">
        <f t="shared" si="1"/>
        <v>1</v>
      </c>
      <c r="S6" s="40">
        <f t="shared" si="1"/>
        <v>1</v>
      </c>
      <c r="T6" s="40">
        <f t="shared" si="1"/>
        <v>1</v>
      </c>
      <c r="U6" s="40">
        <f t="shared" si="1"/>
        <v>1</v>
      </c>
      <c r="V6" s="40">
        <f t="shared" si="1"/>
        <v>1</v>
      </c>
      <c r="W6" s="40" t="str">
        <f t="shared" si="1"/>
        <v/>
      </c>
      <c r="X6" s="40" t="str">
        <f t="shared" si="1"/>
        <v/>
      </c>
      <c r="Y6" s="40" t="str">
        <f t="shared" si="1"/>
        <v/>
      </c>
      <c r="Z6" s="40" t="str">
        <f t="shared" si="1"/>
        <v/>
      </c>
      <c r="AA6" s="40" t="str">
        <f t="shared" si="1"/>
        <v/>
      </c>
      <c r="AB6" s="40" t="str">
        <f t="shared" si="1"/>
        <v/>
      </c>
      <c r="AC6" s="40" t="str">
        <f t="shared" si="1"/>
        <v/>
      </c>
      <c r="AD6" s="40" t="str">
        <f t="shared" si="1"/>
        <v/>
      </c>
      <c r="AE6" s="40" t="str">
        <f t="shared" si="1"/>
        <v/>
      </c>
      <c r="AF6" s="40" t="str">
        <f t="shared" si="1"/>
        <v/>
      </c>
      <c r="AG6" s="40" t="str">
        <f t="shared" si="1"/>
        <v/>
      </c>
      <c r="AH6" s="40" t="str">
        <f t="shared" si="1"/>
        <v/>
      </c>
      <c r="AI6" s="40" t="str">
        <f t="shared" si="1"/>
        <v/>
      </c>
      <c r="AJ6" s="40" t="str">
        <f t="shared" si="1"/>
        <v/>
      </c>
      <c r="AK6" s="40" t="str">
        <f t="shared" si="1"/>
        <v/>
      </c>
      <c r="AL6" s="40" t="str">
        <f t="shared" si="1"/>
        <v/>
      </c>
      <c r="AM6" s="40" t="str">
        <f t="shared" si="1"/>
        <v/>
      </c>
      <c r="AN6" s="40" t="str">
        <f t="shared" si="1"/>
        <v/>
      </c>
      <c r="AO6" s="40" t="str">
        <f t="shared" si="1"/>
        <v/>
      </c>
      <c r="AP6" s="40" t="str">
        <f t="shared" si="1"/>
        <v/>
      </c>
      <c r="AQ6" s="40" t="str">
        <f t="shared" si="1"/>
        <v/>
      </c>
      <c r="AR6" s="40" t="str">
        <f t="shared" si="1"/>
        <v/>
      </c>
      <c r="AS6" s="40" t="str">
        <f t="shared" si="1"/>
        <v/>
      </c>
      <c r="AT6" s="40" t="str">
        <f t="shared" si="1"/>
        <v/>
      </c>
      <c r="AU6" s="40" t="str">
        <f t="shared" si="1"/>
        <v/>
      </c>
      <c r="AV6" s="40" t="str">
        <f t="shared" si="1"/>
        <v/>
      </c>
      <c r="AW6" s="40" t="str">
        <f t="shared" si="1"/>
        <v/>
      </c>
      <c r="AX6" s="40" t="str">
        <f t="shared" si="1"/>
        <v/>
      </c>
      <c r="AY6" s="40" t="str">
        <f t="shared" si="1"/>
        <v/>
      </c>
      <c r="AZ6" s="40" t="str">
        <f t="shared" si="1"/>
        <v/>
      </c>
      <c r="BA6" s="40" t="str">
        <f t="shared" si="1"/>
        <v/>
      </c>
      <c r="BB6" s="40" t="str">
        <f t="shared" si="1"/>
        <v/>
      </c>
      <c r="BC6" s="40" t="str">
        <f t="shared" si="1"/>
        <v/>
      </c>
      <c r="BD6" s="40" t="str">
        <f t="shared" si="1"/>
        <v/>
      </c>
      <c r="BE6" s="40" t="str">
        <f t="shared" si="1"/>
        <v/>
      </c>
      <c r="BF6" s="40" t="str">
        <f t="shared" si="1"/>
        <v/>
      </c>
    </row>
    <row r="7" spans="1:58">
      <c r="A7" s="35">
        <v>3</v>
      </c>
      <c r="B7" s="36" t="str" cm="1">
        <f t="array" ref="B7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ETE-83</v>
      </c>
      <c r="C7" s="37" t="str" cm="1">
        <f t="array" ref="C7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Customer Master Data Cleanup</v>
      </c>
      <c r="D7" s="36" t="str" cm="1">
        <f t="array" ref="D7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📋 NEEDS TECHNICAL SPEC</v>
      </c>
      <c r="E7" s="38" cm="1">
        <f t="array" ref="E7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>45944</v>
      </c>
      <c r="F7" s="39" cm="1">
        <f t="array" ref="F7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>46174</v>
      </c>
      <c r="G7" s="40">
        <f t="shared" si="0"/>
        <v>1</v>
      </c>
      <c r="H7" s="40">
        <f t="shared" si="0"/>
        <v>1</v>
      </c>
      <c r="I7" s="40">
        <f t="shared" si="0"/>
        <v>1</v>
      </c>
      <c r="J7" s="40">
        <f t="shared" si="0"/>
        <v>1</v>
      </c>
      <c r="K7" s="40">
        <f t="shared" si="0"/>
        <v>1</v>
      </c>
      <c r="L7" s="40">
        <f t="shared" si="0"/>
        <v>1</v>
      </c>
      <c r="M7" s="40">
        <f t="shared" si="0"/>
        <v>1</v>
      </c>
      <c r="N7" s="40">
        <f t="shared" si="0"/>
        <v>1</v>
      </c>
      <c r="O7" s="40">
        <f t="shared" si="0"/>
        <v>1</v>
      </c>
      <c r="P7" s="41">
        <f t="shared" si="0"/>
        <v>1</v>
      </c>
      <c r="Q7" s="41">
        <f t="shared" si="0"/>
        <v>1</v>
      </c>
      <c r="R7" s="42">
        <f t="shared" si="0"/>
        <v>1</v>
      </c>
      <c r="S7" s="40">
        <f t="shared" si="0"/>
        <v>1</v>
      </c>
      <c r="T7" s="40">
        <f t="shared" si="0"/>
        <v>1</v>
      </c>
      <c r="U7" s="40">
        <f t="shared" si="0"/>
        <v>1</v>
      </c>
      <c r="V7" s="40">
        <f t="shared" si="0"/>
        <v>1</v>
      </c>
      <c r="W7" s="40">
        <f t="shared" ref="W7:AL26" si="2">IF(AND($E7&gt;0,$F7&gt;0,W$4+6&gt;=$E7,W$4&lt;=$F7),1,"")</f>
        <v>1</v>
      </c>
      <c r="X7" s="40">
        <f t="shared" si="2"/>
        <v>1</v>
      </c>
      <c r="Y7" s="40">
        <f t="shared" si="2"/>
        <v>1</v>
      </c>
      <c r="Z7" s="40">
        <f t="shared" si="2"/>
        <v>1</v>
      </c>
      <c r="AA7" s="40">
        <f t="shared" si="2"/>
        <v>1</v>
      </c>
      <c r="AB7" s="40">
        <f t="shared" si="2"/>
        <v>1</v>
      </c>
      <c r="AC7" s="40" t="str">
        <f t="shared" si="2"/>
        <v/>
      </c>
      <c r="AD7" s="40" t="str">
        <f t="shared" si="2"/>
        <v/>
      </c>
      <c r="AE7" s="40" t="str">
        <f t="shared" si="2"/>
        <v/>
      </c>
      <c r="AF7" s="40" t="str">
        <f t="shared" si="2"/>
        <v/>
      </c>
      <c r="AG7" s="40" t="str">
        <f t="shared" si="2"/>
        <v/>
      </c>
      <c r="AH7" s="40" t="str">
        <f t="shared" si="2"/>
        <v/>
      </c>
      <c r="AI7" s="40" t="str">
        <f t="shared" si="2"/>
        <v/>
      </c>
      <c r="AJ7" s="40" t="str">
        <f t="shared" si="2"/>
        <v/>
      </c>
      <c r="AK7" s="40" t="str">
        <f t="shared" si="2"/>
        <v/>
      </c>
      <c r="AL7" s="40" t="str">
        <f t="shared" si="2"/>
        <v/>
      </c>
      <c r="AM7" s="40" t="str">
        <f t="shared" ref="AM7:BB24" si="3">IF(AND($E7&gt;0,$F7&gt;0,AM$4+6&gt;=$E7,AM$4&lt;=$F7),1,"")</f>
        <v/>
      </c>
      <c r="AN7" s="40" t="str">
        <f t="shared" si="3"/>
        <v/>
      </c>
      <c r="AO7" s="40" t="str">
        <f t="shared" si="3"/>
        <v/>
      </c>
      <c r="AP7" s="40" t="str">
        <f t="shared" si="3"/>
        <v/>
      </c>
      <c r="AQ7" s="40" t="str">
        <f t="shared" si="3"/>
        <v/>
      </c>
      <c r="AR7" s="40" t="str">
        <f t="shared" si="3"/>
        <v/>
      </c>
      <c r="AS7" s="40" t="str">
        <f t="shared" si="3"/>
        <v/>
      </c>
      <c r="AT7" s="40" t="str">
        <f t="shared" si="3"/>
        <v/>
      </c>
      <c r="AU7" s="40" t="str">
        <f t="shared" si="3"/>
        <v/>
      </c>
      <c r="AV7" s="40" t="str">
        <f t="shared" si="3"/>
        <v/>
      </c>
      <c r="AW7" s="40" t="str">
        <f t="shared" si="3"/>
        <v/>
      </c>
      <c r="AX7" s="40" t="str">
        <f t="shared" si="3"/>
        <v/>
      </c>
      <c r="AY7" s="40" t="str">
        <f t="shared" si="3"/>
        <v/>
      </c>
      <c r="AZ7" s="40" t="str">
        <f t="shared" si="3"/>
        <v/>
      </c>
      <c r="BA7" s="40" t="str">
        <f t="shared" si="3"/>
        <v/>
      </c>
      <c r="BB7" s="40" t="str">
        <f t="shared" si="3"/>
        <v/>
      </c>
      <c r="BC7" s="40" t="str">
        <f t="shared" ref="BC7:BF23" si="4">IF(AND($E7&gt;0,$F7&gt;0,BC$4+6&gt;=$E7,BC$4&lt;=$F7),1,"")</f>
        <v/>
      </c>
      <c r="BD7" s="40" t="str">
        <f t="shared" si="4"/>
        <v/>
      </c>
      <c r="BE7" s="40" t="str">
        <f t="shared" si="4"/>
        <v/>
      </c>
      <c r="BF7" s="40" t="str">
        <f t="shared" si="4"/>
        <v/>
      </c>
    </row>
    <row r="8" spans="1:58">
      <c r="A8" s="43">
        <v>4</v>
      </c>
      <c r="B8" s="36" t="str" cm="1">
        <f t="array" ref="B8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ETE-48</v>
      </c>
      <c r="C8" s="37" t="str" cm="1">
        <f t="array" ref="C8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System Connection Syteline-VKS</v>
      </c>
      <c r="D8" s="36" t="str" cm="1">
        <f t="array" ref="D8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🟢 ON TRACK</v>
      </c>
      <c r="E8" s="38" cm="1">
        <f t="array" ref="E8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>46068</v>
      </c>
      <c r="F8" s="39" cm="1">
        <f t="array" ref="F8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>46203</v>
      </c>
      <c r="G8" s="40" t="str">
        <f t="shared" si="0"/>
        <v/>
      </c>
      <c r="H8" s="40" t="str">
        <f t="shared" si="0"/>
        <v/>
      </c>
      <c r="I8" s="40" t="str">
        <f t="shared" si="0"/>
        <v/>
      </c>
      <c r="J8" s="40" t="str">
        <f t="shared" si="0"/>
        <v/>
      </c>
      <c r="K8" s="40" t="str">
        <f t="shared" si="0"/>
        <v/>
      </c>
      <c r="L8" s="40">
        <f t="shared" si="0"/>
        <v>1</v>
      </c>
      <c r="M8" s="40">
        <f t="shared" si="0"/>
        <v>1</v>
      </c>
      <c r="N8" s="40">
        <f t="shared" si="0"/>
        <v>1</v>
      </c>
      <c r="O8" s="40">
        <f t="shared" si="0"/>
        <v>1</v>
      </c>
      <c r="P8" s="41">
        <f t="shared" si="0"/>
        <v>1</v>
      </c>
      <c r="Q8" s="41">
        <f t="shared" si="0"/>
        <v>1</v>
      </c>
      <c r="R8" s="42">
        <f t="shared" si="0"/>
        <v>1</v>
      </c>
      <c r="S8" s="40">
        <f t="shared" si="0"/>
        <v>1</v>
      </c>
      <c r="T8" s="40">
        <f t="shared" si="0"/>
        <v>1</v>
      </c>
      <c r="U8" s="40">
        <f t="shared" si="0"/>
        <v>1</v>
      </c>
      <c r="V8" s="40">
        <f t="shared" si="0"/>
        <v>1</v>
      </c>
      <c r="W8" s="40">
        <f t="shared" si="2"/>
        <v>1</v>
      </c>
      <c r="X8" s="40">
        <f t="shared" si="2"/>
        <v>1</v>
      </c>
      <c r="Y8" s="40">
        <f t="shared" si="2"/>
        <v>1</v>
      </c>
      <c r="Z8" s="40">
        <f t="shared" si="2"/>
        <v>1</v>
      </c>
      <c r="AA8" s="40">
        <f t="shared" si="2"/>
        <v>1</v>
      </c>
      <c r="AB8" s="40">
        <f t="shared" si="2"/>
        <v>1</v>
      </c>
      <c r="AC8" s="40">
        <f t="shared" si="2"/>
        <v>1</v>
      </c>
      <c r="AD8" s="40">
        <f t="shared" si="2"/>
        <v>1</v>
      </c>
      <c r="AE8" s="40">
        <f t="shared" si="2"/>
        <v>1</v>
      </c>
      <c r="AF8" s="40">
        <f t="shared" si="2"/>
        <v>1</v>
      </c>
      <c r="AG8" s="40" t="str">
        <f t="shared" si="2"/>
        <v/>
      </c>
      <c r="AH8" s="40" t="str">
        <f t="shared" si="2"/>
        <v/>
      </c>
      <c r="AI8" s="40" t="str">
        <f t="shared" si="2"/>
        <v/>
      </c>
      <c r="AJ8" s="40" t="str">
        <f t="shared" si="2"/>
        <v/>
      </c>
      <c r="AK8" s="40" t="str">
        <f t="shared" si="2"/>
        <v/>
      </c>
      <c r="AL8" s="40" t="str">
        <f t="shared" si="2"/>
        <v/>
      </c>
      <c r="AM8" s="40" t="str">
        <f t="shared" si="3"/>
        <v/>
      </c>
      <c r="AN8" s="40" t="str">
        <f t="shared" si="3"/>
        <v/>
      </c>
      <c r="AO8" s="40" t="str">
        <f t="shared" si="3"/>
        <v/>
      </c>
      <c r="AP8" s="40" t="str">
        <f t="shared" si="3"/>
        <v/>
      </c>
      <c r="AQ8" s="40" t="str">
        <f t="shared" si="3"/>
        <v/>
      </c>
      <c r="AR8" s="40" t="str">
        <f t="shared" si="3"/>
        <v/>
      </c>
      <c r="AS8" s="40" t="str">
        <f t="shared" si="3"/>
        <v/>
      </c>
      <c r="AT8" s="40" t="str">
        <f t="shared" si="3"/>
        <v/>
      </c>
      <c r="AU8" s="40" t="str">
        <f t="shared" si="3"/>
        <v/>
      </c>
      <c r="AV8" s="40" t="str">
        <f t="shared" si="3"/>
        <v/>
      </c>
      <c r="AW8" s="40" t="str">
        <f t="shared" si="3"/>
        <v/>
      </c>
      <c r="AX8" s="40" t="str">
        <f t="shared" si="3"/>
        <v/>
      </c>
      <c r="AY8" s="40" t="str">
        <f t="shared" si="3"/>
        <v/>
      </c>
      <c r="AZ8" s="40" t="str">
        <f t="shared" si="3"/>
        <v/>
      </c>
      <c r="BA8" s="40" t="str">
        <f t="shared" si="3"/>
        <v/>
      </c>
      <c r="BB8" s="40" t="str">
        <f t="shared" si="3"/>
        <v/>
      </c>
      <c r="BC8" s="40" t="str">
        <f t="shared" si="4"/>
        <v/>
      </c>
      <c r="BD8" s="40" t="str">
        <f t="shared" si="4"/>
        <v/>
      </c>
      <c r="BE8" s="40" t="str">
        <f t="shared" si="4"/>
        <v/>
      </c>
      <c r="BF8" s="40" t="str">
        <f t="shared" si="4"/>
        <v/>
      </c>
    </row>
    <row r="9" spans="1:58">
      <c r="A9" s="35">
        <v>5</v>
      </c>
      <c r="B9" s="36" t="str" cm="1">
        <f t="array" ref="B9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ETE-43</v>
      </c>
      <c r="C9" s="37" t="str" cm="1">
        <f t="array" ref="C9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Data Security - Microsoft Purview</v>
      </c>
      <c r="D9" s="36" t="str" cm="1">
        <f t="array" ref="D9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🟢 ON TRACK</v>
      </c>
      <c r="E9" s="38" cm="1">
        <f t="array" ref="E9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>46055</v>
      </c>
      <c r="F9" s="39" cm="1">
        <f t="array" ref="F9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>46203</v>
      </c>
      <c r="G9" s="40" t="str">
        <f>IF(AND($E9&gt;0,$F9&gt;0,G$4+6&gt;=$E9,G$4&lt;=$F9),1,"")</f>
        <v/>
      </c>
      <c r="H9" s="40" t="str">
        <f>IF(AND($E9&gt;0,$F9&gt;0,H$4+6&gt;=$E9,H$4&lt;=$F9),1,"")</f>
        <v/>
      </c>
      <c r="I9" s="40" t="str">
        <f>IF(AND($E9&gt;0,$F9&gt;0,I$4+6&gt;=$E9,I$4&lt;=$F9),1,"")</f>
        <v/>
      </c>
      <c r="J9" s="40" t="str">
        <f>IF(AND($E9&gt;0,$F9&gt;0,J$4+6&gt;=$E9,J$4&lt;=$F9),1,"")</f>
        <v/>
      </c>
      <c r="K9" s="40">
        <f>IF(AND($E9&gt;0,$F9&gt;0,K$4+6&gt;=$E9,K$4&lt;=$F9),1,"")</f>
        <v>1</v>
      </c>
      <c r="L9" s="40">
        <f>IF(AND($E9&gt;0,$F9&gt;0,L$4+6&gt;=$E9,L$4&lt;=$F9),1,"")</f>
        <v>1</v>
      </c>
      <c r="M9" s="40">
        <f>IF(AND($E9&gt;0,$F9&gt;0,M$4+6&gt;=$E9,M$4&lt;=$F9),1,"")</f>
        <v>1</v>
      </c>
      <c r="N9" s="40">
        <f>IF(AND($E9&gt;0,$F9&gt;0,N$4+6&gt;=$E9,N$4&lt;=$F9),1,"")</f>
        <v>1</v>
      </c>
      <c r="O9" s="40">
        <f>IF(AND($E9&gt;0,$F9&gt;0,O$4+6&gt;=$E9,O$4&lt;=$F9),1,"")</f>
        <v>1</v>
      </c>
      <c r="P9" s="41">
        <f>IF(AND($E9&gt;0,$F9&gt;0,P$4+6&gt;=$E9,P$4&lt;=$F9),1,"")</f>
        <v>1</v>
      </c>
      <c r="Q9" s="41">
        <f>IF(AND($E9&gt;0,$F9&gt;0,Q$4+6&gt;=$E9,Q$4&lt;=$F9),1,"")</f>
        <v>1</v>
      </c>
      <c r="R9" s="42">
        <f>IF(AND($E9&gt;0,$F9&gt;0,R$4+6&gt;=$E9,R$4&lt;=$F9),1,"")</f>
        <v>1</v>
      </c>
      <c r="S9" s="40">
        <f>IF(AND($E9&gt;0,$F9&gt;0,S$4+6&gt;=$E9,S$4&lt;=$F9),1,"")</f>
        <v>1</v>
      </c>
      <c r="T9" s="40">
        <f>IF(AND($E9&gt;0,$F9&gt;0,T$4+6&gt;=$E9,T$4&lt;=$F9),1,"")</f>
        <v>1</v>
      </c>
      <c r="U9" s="40">
        <f>IF(AND($E9&gt;0,$F9&gt;0,U$4+6&gt;=$E9,U$4&lt;=$F9),1,"")</f>
        <v>1</v>
      </c>
      <c r="V9" s="40">
        <f>IF(AND($E9&gt;0,$F9&gt;0,V$4+6&gt;=$E9,V$4&lt;=$F9),1,"")</f>
        <v>1</v>
      </c>
      <c r="W9" s="40">
        <f>IF(AND($E9&gt;0,$F9&gt;0,W$4+6&gt;=$E9,W$4&lt;=$F9),1,"")</f>
        <v>1</v>
      </c>
      <c r="X9" s="40">
        <f>IF(AND($E9&gt;0,$F9&gt;0,X$4+6&gt;=$E9,X$4&lt;=$F9),1,"")</f>
        <v>1</v>
      </c>
      <c r="Y9" s="40">
        <f>IF(AND($E9&gt;0,$F9&gt;0,Y$4+6&gt;=$E9,Y$4&lt;=$F9),1,"")</f>
        <v>1</v>
      </c>
      <c r="Z9" s="40">
        <f>IF(AND($E9&gt;0,$F9&gt;0,Z$4+6&gt;=$E9,Z$4&lt;=$F9),1,"")</f>
        <v>1</v>
      </c>
      <c r="AA9" s="40">
        <f>IF(AND($E9&gt;0,$F9&gt;0,AA$4+6&gt;=$E9,AA$4&lt;=$F9),1,"")</f>
        <v>1</v>
      </c>
      <c r="AB9" s="40">
        <f>IF(AND($E9&gt;0,$F9&gt;0,AB$4+6&gt;=$E9,AB$4&lt;=$F9),1,"")</f>
        <v>1</v>
      </c>
      <c r="AC9" s="40">
        <f>IF(AND($E9&gt;0,$F9&gt;0,AC$4+6&gt;=$E9,AC$4&lt;=$F9),1,"")</f>
        <v>1</v>
      </c>
      <c r="AD9" s="40">
        <f>IF(AND($E9&gt;0,$F9&gt;0,AD$4+6&gt;=$E9,AD$4&lt;=$F9),1,"")</f>
        <v>1</v>
      </c>
      <c r="AE9" s="40">
        <f>IF(AND($E9&gt;0,$F9&gt;0,AE$4+6&gt;=$E9,AE$4&lt;=$F9),1,"")</f>
        <v>1</v>
      </c>
      <c r="AF9" s="40">
        <f>IF(AND($E9&gt;0,$F9&gt;0,AF$4+6&gt;=$E9,AF$4&lt;=$F9),1,"")</f>
        <v>1</v>
      </c>
      <c r="AG9" s="40" t="str">
        <f>IF(AND($E9&gt;0,$F9&gt;0,AG$4+6&gt;=$E9,AG$4&lt;=$F9),1,"")</f>
        <v/>
      </c>
      <c r="AH9" s="40" t="str">
        <f>IF(AND($E9&gt;0,$F9&gt;0,AH$4+6&gt;=$E9,AH$4&lt;=$F9),1,"")</f>
        <v/>
      </c>
      <c r="AI9" s="40" t="str">
        <f>IF(AND($E9&gt;0,$F9&gt;0,AI$4+6&gt;=$E9,AI$4&lt;=$F9),1,"")</f>
        <v/>
      </c>
      <c r="AJ9" s="40" t="str">
        <f>IF(AND($E9&gt;0,$F9&gt;0,AJ$4+6&gt;=$E9,AJ$4&lt;=$F9),1,"")</f>
        <v/>
      </c>
      <c r="AK9" s="40" t="str">
        <f>IF(AND($E9&gt;0,$F9&gt;0,AK$4+6&gt;=$E9,AK$4&lt;=$F9),1,"")</f>
        <v/>
      </c>
      <c r="AL9" s="40" t="str">
        <f>IF(AND($E9&gt;0,$F9&gt;0,AL$4+6&gt;=$E9,AL$4&lt;=$F9),1,"")</f>
        <v/>
      </c>
      <c r="AM9" s="40" t="str">
        <f>IF(AND($E9&gt;0,$F9&gt;0,AM$4+6&gt;=$E9,AM$4&lt;=$F9),1,"")</f>
        <v/>
      </c>
      <c r="AN9" s="40" t="str">
        <f>IF(AND($E9&gt;0,$F9&gt;0,AN$4+6&gt;=$E9,AN$4&lt;=$F9),1,"")</f>
        <v/>
      </c>
      <c r="AO9" s="40" t="str">
        <f>IF(AND($E9&gt;0,$F9&gt;0,AO$4+6&gt;=$E9,AO$4&lt;=$F9),1,"")</f>
        <v/>
      </c>
      <c r="AP9" s="40" t="str">
        <f>IF(AND($E9&gt;0,$F9&gt;0,AP$4+6&gt;=$E9,AP$4&lt;=$F9),1,"")</f>
        <v/>
      </c>
      <c r="AQ9" s="40" t="str">
        <f>IF(AND($E9&gt;0,$F9&gt;0,AQ$4+6&gt;=$E9,AQ$4&lt;=$F9),1,"")</f>
        <v/>
      </c>
      <c r="AR9" s="40" t="str">
        <f>IF(AND($E9&gt;0,$F9&gt;0,AR$4+6&gt;=$E9,AR$4&lt;=$F9),1,"")</f>
        <v/>
      </c>
      <c r="AS9" s="40" t="str">
        <f>IF(AND($E9&gt;0,$F9&gt;0,AS$4+6&gt;=$E9,AS$4&lt;=$F9),1,"")</f>
        <v/>
      </c>
      <c r="AT9" s="40" t="str">
        <f>IF(AND($E9&gt;0,$F9&gt;0,AT$4+6&gt;=$E9,AT$4&lt;=$F9),1,"")</f>
        <v/>
      </c>
      <c r="AU9" s="40" t="str">
        <f>IF(AND($E9&gt;0,$F9&gt;0,AU$4+6&gt;=$E9,AU$4&lt;=$F9),1,"")</f>
        <v/>
      </c>
      <c r="AV9" s="40" t="str">
        <f>IF(AND($E9&gt;0,$F9&gt;0,AV$4+6&gt;=$E9,AV$4&lt;=$F9),1,"")</f>
        <v/>
      </c>
      <c r="AW9" s="40" t="str">
        <f>IF(AND($E9&gt;0,$F9&gt;0,AW$4+6&gt;=$E9,AW$4&lt;=$F9),1,"")</f>
        <v/>
      </c>
      <c r="AX9" s="40" t="str">
        <f>IF(AND($E9&gt;0,$F9&gt;0,AX$4+6&gt;=$E9,AX$4&lt;=$F9),1,"")</f>
        <v/>
      </c>
      <c r="AY9" s="40" t="str">
        <f>IF(AND($E9&gt;0,$F9&gt;0,AY$4+6&gt;=$E9,AY$4&lt;=$F9),1,"")</f>
        <v/>
      </c>
      <c r="AZ9" s="40" t="str">
        <f>IF(AND($E9&gt;0,$F9&gt;0,AZ$4+6&gt;=$E9,AZ$4&lt;=$F9),1,"")</f>
        <v/>
      </c>
      <c r="BA9" s="40" t="str">
        <f>IF(AND($E9&gt;0,$F9&gt;0,BA$4+6&gt;=$E9,BA$4&lt;=$F9),1,"")</f>
        <v/>
      </c>
      <c r="BB9" s="40" t="str">
        <f>IF(AND($E9&gt;0,$F9&gt;0,BB$4+6&gt;=$E9,BB$4&lt;=$F9),1,"")</f>
        <v/>
      </c>
      <c r="BC9" s="40" t="str">
        <f>IF(AND($E9&gt;0,$F9&gt;0,BC$4+6&gt;=$E9,BC$4&lt;=$F9),1,"")</f>
        <v/>
      </c>
      <c r="BD9" s="40" t="str">
        <f>IF(AND($E9&gt;0,$F9&gt;0,BD$4+6&gt;=$E9,BD$4&lt;=$F9),1,"")</f>
        <v/>
      </c>
      <c r="BE9" s="40" t="str">
        <f>IF(AND($E9&gt;0,$F9&gt;0,BE$4+6&gt;=$E9,BE$4&lt;=$F9),1,"")</f>
        <v/>
      </c>
      <c r="BF9" s="40" t="str">
        <f>IF(AND($E9&gt;0,$F9&gt;0,BF$4+6&gt;=$E9,BF$4&lt;=$F9),1,"")</f>
        <v/>
      </c>
    </row>
    <row r="10" spans="1:58">
      <c r="A10" s="35">
        <v>6</v>
      </c>
      <c r="B10" s="36" t="str" cm="1">
        <f t="array" ref="B10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ETE-49</v>
      </c>
      <c r="C10" s="37" t="str" cm="1">
        <f t="array" ref="C10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Marketing: STE Rewards Tier</v>
      </c>
      <c r="D10" s="36" t="str" cm="1">
        <f t="array" ref="D10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📋 NEEDS TECHNICAL SPEC</v>
      </c>
      <c r="E10" s="38" t="str" cm="1">
        <f t="array" ref="E10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10" s="39" t="str" cm="1">
        <f t="array" ref="F10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10" s="40" t="str">
        <f t="shared" si="0"/>
        <v/>
      </c>
      <c r="H10" s="40" t="str">
        <f t="shared" si="0"/>
        <v/>
      </c>
      <c r="I10" s="40" t="str">
        <f t="shared" si="0"/>
        <v/>
      </c>
      <c r="J10" s="40" t="str">
        <f t="shared" si="0"/>
        <v/>
      </c>
      <c r="K10" s="40" t="str">
        <f t="shared" si="0"/>
        <v/>
      </c>
      <c r="L10" s="40" t="str">
        <f t="shared" si="0"/>
        <v/>
      </c>
      <c r="M10" s="40" t="str">
        <f t="shared" si="0"/>
        <v/>
      </c>
      <c r="N10" s="40" t="str">
        <f t="shared" si="0"/>
        <v/>
      </c>
      <c r="O10" s="40" t="str">
        <f t="shared" si="0"/>
        <v/>
      </c>
      <c r="P10" s="41" t="str">
        <f t="shared" si="0"/>
        <v/>
      </c>
      <c r="Q10" s="41" t="str">
        <f t="shared" si="0"/>
        <v/>
      </c>
      <c r="R10" s="42" t="str">
        <f t="shared" si="0"/>
        <v/>
      </c>
      <c r="S10" s="40" t="str">
        <f t="shared" si="0"/>
        <v/>
      </c>
      <c r="T10" s="40" t="str">
        <f t="shared" si="0"/>
        <v/>
      </c>
      <c r="U10" s="40" t="str">
        <f t="shared" si="0"/>
        <v/>
      </c>
      <c r="V10" s="40" t="str">
        <f t="shared" si="0"/>
        <v/>
      </c>
      <c r="W10" s="40" t="str">
        <f t="shared" si="2"/>
        <v/>
      </c>
      <c r="X10" s="40" t="str">
        <f t="shared" si="2"/>
        <v/>
      </c>
      <c r="Y10" s="40" t="str">
        <f t="shared" si="2"/>
        <v/>
      </c>
      <c r="Z10" s="40" t="str">
        <f t="shared" si="2"/>
        <v/>
      </c>
      <c r="AA10" s="40" t="str">
        <f t="shared" si="2"/>
        <v/>
      </c>
      <c r="AB10" s="40" t="str">
        <f t="shared" si="2"/>
        <v/>
      </c>
      <c r="AC10" s="40" t="str">
        <f t="shared" si="2"/>
        <v/>
      </c>
      <c r="AD10" s="40" t="str">
        <f t="shared" si="2"/>
        <v/>
      </c>
      <c r="AE10" s="40" t="str">
        <f t="shared" si="2"/>
        <v/>
      </c>
      <c r="AF10" s="40" t="str">
        <f t="shared" si="2"/>
        <v/>
      </c>
      <c r="AG10" s="40" t="str">
        <f t="shared" si="2"/>
        <v/>
      </c>
      <c r="AH10" s="40" t="str">
        <f t="shared" si="2"/>
        <v/>
      </c>
      <c r="AI10" s="40" t="str">
        <f t="shared" si="2"/>
        <v/>
      </c>
      <c r="AJ10" s="40" t="str">
        <f t="shared" si="2"/>
        <v/>
      </c>
      <c r="AK10" s="40" t="str">
        <f t="shared" si="2"/>
        <v/>
      </c>
      <c r="AL10" s="40" t="str">
        <f t="shared" si="2"/>
        <v/>
      </c>
      <c r="AM10" s="40" t="str">
        <f t="shared" si="3"/>
        <v/>
      </c>
      <c r="AN10" s="40" t="str">
        <f t="shared" si="3"/>
        <v/>
      </c>
      <c r="AO10" s="40" t="str">
        <f t="shared" si="3"/>
        <v/>
      </c>
      <c r="AP10" s="40" t="str">
        <f t="shared" si="3"/>
        <v/>
      </c>
      <c r="AQ10" s="40" t="str">
        <f t="shared" si="3"/>
        <v/>
      </c>
      <c r="AR10" s="40" t="str">
        <f t="shared" si="3"/>
        <v/>
      </c>
      <c r="AS10" s="40" t="str">
        <f t="shared" si="3"/>
        <v/>
      </c>
      <c r="AT10" s="40" t="str">
        <f t="shared" si="3"/>
        <v/>
      </c>
      <c r="AU10" s="40" t="str">
        <f t="shared" si="3"/>
        <v/>
      </c>
      <c r="AV10" s="40" t="str">
        <f t="shared" si="3"/>
        <v/>
      </c>
      <c r="AW10" s="40" t="str">
        <f t="shared" si="3"/>
        <v/>
      </c>
      <c r="AX10" s="40" t="str">
        <f t="shared" si="3"/>
        <v/>
      </c>
      <c r="AY10" s="40" t="str">
        <f t="shared" si="3"/>
        <v/>
      </c>
      <c r="AZ10" s="40" t="str">
        <f t="shared" si="3"/>
        <v/>
      </c>
      <c r="BA10" s="40" t="str">
        <f t="shared" si="3"/>
        <v/>
      </c>
      <c r="BB10" s="40" t="str">
        <f t="shared" si="3"/>
        <v/>
      </c>
      <c r="BC10" s="40" t="str">
        <f t="shared" si="4"/>
        <v/>
      </c>
      <c r="BD10" s="40" t="str">
        <f t="shared" si="4"/>
        <v/>
      </c>
      <c r="BE10" s="40" t="str">
        <f t="shared" si="4"/>
        <v/>
      </c>
      <c r="BF10" s="40" t="str">
        <f t="shared" si="4"/>
        <v/>
      </c>
    </row>
    <row r="11" spans="1:58">
      <c r="A11" s="43">
        <v>7</v>
      </c>
      <c r="B11" s="36" t="str" cm="1">
        <f t="array" ref="B11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ETE-7</v>
      </c>
      <c r="C11" s="37" t="str" cm="1">
        <f t="array" ref="C11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Outsourced Unit Core Accounting</v>
      </c>
      <c r="D11" s="36" t="str" cm="1">
        <f t="array" ref="D11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📋 NEEDS FUNCTIONAL SPEC</v>
      </c>
      <c r="E11" s="38" t="str" cm="1">
        <f t="array" ref="E11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11" s="39" t="str" cm="1">
        <f t="array" ref="F11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11" s="40" t="str">
        <f>IF(AND($E11&gt;0,$F11&gt;0,G$4+6&gt;=$E11,G$4&lt;=$F11),1,"")</f>
        <v/>
      </c>
      <c r="H11" s="40" t="str">
        <f>IF(AND($E11&gt;0,$F11&gt;0,H$4+6&gt;=$E11,H$4&lt;=$F11),1,"")</f>
        <v/>
      </c>
      <c r="I11" s="40" t="str">
        <f>IF(AND($E11&gt;0,$F11&gt;0,I$4+6&gt;=$E11,I$4&lt;=$F11),1,"")</f>
        <v/>
      </c>
      <c r="J11" s="40" t="str">
        <f>IF(AND($E11&gt;0,$F11&gt;0,J$4+6&gt;=$E11,J$4&lt;=$F11),1,"")</f>
        <v/>
      </c>
      <c r="K11" s="40" t="str">
        <f>IF(AND($E11&gt;0,$F11&gt;0,K$4+6&gt;=$E11,K$4&lt;=$F11),1,"")</f>
        <v/>
      </c>
      <c r="L11" s="40" t="str">
        <f>IF(AND($E11&gt;0,$F11&gt;0,L$4+6&gt;=$E11,L$4&lt;=$F11),1,"")</f>
        <v/>
      </c>
      <c r="M11" s="40" t="str">
        <f>IF(AND($E11&gt;0,$F11&gt;0,M$4+6&gt;=$E11,M$4&lt;=$F11),1,"")</f>
        <v/>
      </c>
      <c r="N11" s="40" t="str">
        <f>IF(AND($E11&gt;0,$F11&gt;0,N$4+6&gt;=$E11,N$4&lt;=$F11),1,"")</f>
        <v/>
      </c>
      <c r="O11" s="40" t="str">
        <f>IF(AND($E11&gt;0,$F11&gt;0,O$4+6&gt;=$E11,O$4&lt;=$F11),1,"")</f>
        <v/>
      </c>
      <c r="P11" s="44" t="str">
        <f>IF(AND($E11&gt;0,$F11&gt;0,P$4+6&gt;=$E11,P$4&lt;=$F11),1,"")</f>
        <v/>
      </c>
      <c r="Q11" s="44" t="str">
        <f>IF(AND($E11&gt;0,$F11&gt;0,Q$4+6&gt;=$E11,Q$4&lt;=$F11),1,"")</f>
        <v/>
      </c>
      <c r="R11" s="45" t="str">
        <f>IF(AND($E11&gt;0,$F11&gt;0,R$4+6&gt;=$E11,R$4&lt;=$F11),1,"")</f>
        <v/>
      </c>
      <c r="S11" s="40" t="str">
        <f>IF(AND($E11&gt;0,$F11&gt;0,S$4+6&gt;=$E11,S$4&lt;=$F11),1,"")</f>
        <v/>
      </c>
      <c r="T11" s="40" t="str">
        <f>IF(AND($E11&gt;0,$F11&gt;0,T$4+6&gt;=$E11,T$4&lt;=$F11),1,"")</f>
        <v/>
      </c>
      <c r="U11" s="40" t="str">
        <f>IF(AND($E11&gt;0,$F11&gt;0,U$4+6&gt;=$E11,U$4&lt;=$F11),1,"")</f>
        <v/>
      </c>
      <c r="V11" s="40" t="str">
        <f>IF(AND($E11&gt;0,$F11&gt;0,V$4+6&gt;=$E11,V$4&lt;=$F11),1,"")</f>
        <v/>
      </c>
      <c r="W11" s="40" t="str">
        <f>IF(AND($E11&gt;0,$F11&gt;0,W$4+6&gt;=$E11,W$4&lt;=$F11),1,"")</f>
        <v/>
      </c>
      <c r="X11" s="40" t="str">
        <f>IF(AND($E11&gt;0,$F11&gt;0,X$4+6&gt;=$E11,X$4&lt;=$F11),1,"")</f>
        <v/>
      </c>
      <c r="Y11" s="40" t="str">
        <f>IF(AND($E11&gt;0,$F11&gt;0,Y$4+6&gt;=$E11,Y$4&lt;=$F11),1,"")</f>
        <v/>
      </c>
      <c r="Z11" s="40" t="str">
        <f>IF(AND($E11&gt;0,$F11&gt;0,Z$4+6&gt;=$E11,Z$4&lt;=$F11),1,"")</f>
        <v/>
      </c>
      <c r="AA11" s="40" t="str">
        <f>IF(AND($E11&gt;0,$F11&gt;0,AA$4+6&gt;=$E11,AA$4&lt;=$F11),1,"")</f>
        <v/>
      </c>
      <c r="AB11" s="40" t="str">
        <f>IF(AND($E11&gt;0,$F11&gt;0,AB$4+6&gt;=$E11,AB$4&lt;=$F11),1,"")</f>
        <v/>
      </c>
      <c r="AC11" s="40" t="str">
        <f>IF(AND($E11&gt;0,$F11&gt;0,AC$4+6&gt;=$E11,AC$4&lt;=$F11),1,"")</f>
        <v/>
      </c>
      <c r="AD11" s="40" t="str">
        <f>IF(AND($E11&gt;0,$F11&gt;0,AD$4+6&gt;=$E11,AD$4&lt;=$F11),1,"")</f>
        <v/>
      </c>
      <c r="AE11" s="40" t="str">
        <f>IF(AND($E11&gt;0,$F11&gt;0,AE$4+6&gt;=$E11,AE$4&lt;=$F11),1,"")</f>
        <v/>
      </c>
      <c r="AF11" s="40" t="str">
        <f>IF(AND($E11&gt;0,$F11&gt;0,AF$4+6&gt;=$E11,AF$4&lt;=$F11),1,"")</f>
        <v/>
      </c>
      <c r="AG11" s="40" t="str">
        <f>IF(AND($E11&gt;0,$F11&gt;0,AG$4+6&gt;=$E11,AG$4&lt;=$F11),1,"")</f>
        <v/>
      </c>
      <c r="AH11" s="40" t="str">
        <f>IF(AND($E11&gt;0,$F11&gt;0,AH$4+6&gt;=$E11,AH$4&lt;=$F11),1,"")</f>
        <v/>
      </c>
      <c r="AI11" s="40" t="str">
        <f>IF(AND($E11&gt;0,$F11&gt;0,AI$4+6&gt;=$E11,AI$4&lt;=$F11),1,"")</f>
        <v/>
      </c>
      <c r="AJ11" s="40" t="str">
        <f>IF(AND($E11&gt;0,$F11&gt;0,AJ$4+6&gt;=$E11,AJ$4&lt;=$F11),1,"")</f>
        <v/>
      </c>
      <c r="AK11" s="40" t="str">
        <f>IF(AND($E11&gt;0,$F11&gt;0,AK$4+6&gt;=$E11,AK$4&lt;=$F11),1,"")</f>
        <v/>
      </c>
      <c r="AL11" s="40" t="str">
        <f>IF(AND($E11&gt;0,$F11&gt;0,AL$4+6&gt;=$E11,AL$4&lt;=$F11),1,"")</f>
        <v/>
      </c>
      <c r="AM11" s="40" t="str">
        <f>IF(AND($E11&gt;0,$F11&gt;0,AM$4+6&gt;=$E11,AM$4&lt;=$F11),1,"")</f>
        <v/>
      </c>
      <c r="AN11" s="40" t="str">
        <f>IF(AND($E11&gt;0,$F11&gt;0,AN$4+6&gt;=$E11,AN$4&lt;=$F11),1,"")</f>
        <v/>
      </c>
      <c r="AO11" s="40" t="str">
        <f>IF(AND($E11&gt;0,$F11&gt;0,AO$4+6&gt;=$E11,AO$4&lt;=$F11),1,"")</f>
        <v/>
      </c>
      <c r="AP11" s="40" t="str">
        <f>IF(AND($E11&gt;0,$F11&gt;0,AP$4+6&gt;=$E11,AP$4&lt;=$F11),1,"")</f>
        <v/>
      </c>
      <c r="AQ11" s="40" t="str">
        <f>IF(AND($E11&gt;0,$F11&gt;0,AQ$4+6&gt;=$E11,AQ$4&lt;=$F11),1,"")</f>
        <v/>
      </c>
      <c r="AR11" s="40" t="str">
        <f>IF(AND($E11&gt;0,$F11&gt;0,AR$4+6&gt;=$E11,AR$4&lt;=$F11),1,"")</f>
        <v/>
      </c>
      <c r="AS11" s="40" t="str">
        <f>IF(AND($E11&gt;0,$F11&gt;0,AS$4+6&gt;=$E11,AS$4&lt;=$F11),1,"")</f>
        <v/>
      </c>
      <c r="AT11" s="40" t="str">
        <f>IF(AND($E11&gt;0,$F11&gt;0,AT$4+6&gt;=$E11,AT$4&lt;=$F11),1,"")</f>
        <v/>
      </c>
      <c r="AU11" s="40" t="str">
        <f>IF(AND($E11&gt;0,$F11&gt;0,AU$4+6&gt;=$E11,AU$4&lt;=$F11),1,"")</f>
        <v/>
      </c>
      <c r="AV11" s="40" t="str">
        <f>IF(AND($E11&gt;0,$F11&gt;0,AV$4+6&gt;=$E11,AV$4&lt;=$F11),1,"")</f>
        <v/>
      </c>
      <c r="AW11" s="40" t="str">
        <f>IF(AND($E11&gt;0,$F11&gt;0,AW$4+6&gt;=$E11,AW$4&lt;=$F11),1,"")</f>
        <v/>
      </c>
      <c r="AX11" s="40" t="str">
        <f>IF(AND($E11&gt;0,$F11&gt;0,AX$4+6&gt;=$E11,AX$4&lt;=$F11),1,"")</f>
        <v/>
      </c>
      <c r="AY11" s="40" t="str">
        <f>IF(AND($E11&gt;0,$F11&gt;0,AY$4+6&gt;=$E11,AY$4&lt;=$F11),1,"")</f>
        <v/>
      </c>
      <c r="AZ11" s="40" t="str">
        <f>IF(AND($E11&gt;0,$F11&gt;0,AZ$4+6&gt;=$E11,AZ$4&lt;=$F11),1,"")</f>
        <v/>
      </c>
      <c r="BA11" s="40" t="str">
        <f>IF(AND($E11&gt;0,$F11&gt;0,BA$4+6&gt;=$E11,BA$4&lt;=$F11),1,"")</f>
        <v/>
      </c>
      <c r="BB11" s="40" t="str">
        <f>IF(AND($E11&gt;0,$F11&gt;0,BB$4+6&gt;=$E11,BB$4&lt;=$F11),1,"")</f>
        <v/>
      </c>
      <c r="BC11" s="40" t="str">
        <f>IF(AND($E11&gt;0,$F11&gt;0,BC$4+6&gt;=$E11,BC$4&lt;=$F11),1,"")</f>
        <v/>
      </c>
      <c r="BD11" s="40" t="str">
        <f>IF(AND($E11&gt;0,$F11&gt;0,BD$4+6&gt;=$E11,BD$4&lt;=$F11),1,"")</f>
        <v/>
      </c>
      <c r="BE11" s="40" t="str">
        <f>IF(AND($E11&gt;0,$F11&gt;0,BE$4+6&gt;=$E11,BE$4&lt;=$F11),1,"")</f>
        <v/>
      </c>
      <c r="BF11" s="40" t="str">
        <f>IF(AND($E11&gt;0,$F11&gt;0,BF$4+6&gt;=$E11,BF$4&lt;=$F11),1,"")</f>
        <v/>
      </c>
    </row>
    <row r="12" spans="1:58">
      <c r="A12" s="35">
        <v>8</v>
      </c>
      <c r="B12" s="36" t="str" cm="1">
        <f t="array" ref="B12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ETE-52</v>
      </c>
      <c r="C12" s="37" t="str" cm="1">
        <f t="array" ref="C12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SWIMS/Syteline Reporting</v>
      </c>
      <c r="D12" s="36" t="str" cm="1">
        <f t="array" ref="D12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📋 NEEDS TECHNICAL SPEC</v>
      </c>
      <c r="E12" s="38" t="str" cm="1">
        <f t="array" ref="E12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12" s="39" t="str" cm="1">
        <f t="array" ref="F12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12" s="40" t="str">
        <f>IF(AND($E12&gt;0,$F12&gt;0,G$4+6&gt;=$E12,G$4&lt;=$F12),1,"")</f>
        <v/>
      </c>
      <c r="H12" s="40" t="str">
        <f>IF(AND($E12&gt;0,$F12&gt;0,H$4+6&gt;=$E12,H$4&lt;=$F12),1,"")</f>
        <v/>
      </c>
      <c r="I12" s="40" t="str">
        <f>IF(AND($E12&gt;0,$F12&gt;0,I$4+6&gt;=$E12,I$4&lt;=$F12),1,"")</f>
        <v/>
      </c>
      <c r="J12" s="40" t="str">
        <f>IF(AND($E12&gt;0,$F12&gt;0,J$4+6&gt;=$E12,J$4&lt;=$F12),1,"")</f>
        <v/>
      </c>
      <c r="K12" s="40" t="str">
        <f>IF(AND($E12&gt;0,$F12&gt;0,K$4+6&gt;=$E12,K$4&lt;=$F12),1,"")</f>
        <v/>
      </c>
      <c r="L12" s="40" t="str">
        <f>IF(AND($E12&gt;0,$F12&gt;0,L$4+6&gt;=$E12,L$4&lt;=$F12),1,"")</f>
        <v/>
      </c>
      <c r="M12" s="40" t="str">
        <f>IF(AND($E12&gt;0,$F12&gt;0,M$4+6&gt;=$E12,M$4&lt;=$F12),1,"")</f>
        <v/>
      </c>
      <c r="N12" s="40" t="str">
        <f>IF(AND($E12&gt;0,$F12&gt;0,N$4+6&gt;=$E12,N$4&lt;=$F12),1,"")</f>
        <v/>
      </c>
      <c r="O12" s="40" t="str">
        <f>IF(AND($E12&gt;0,$F12&gt;0,O$4+6&gt;=$E12,O$4&lt;=$F12),1,"")</f>
        <v/>
      </c>
      <c r="P12" s="41" t="str">
        <f>IF(AND($E12&gt;0,$F12&gt;0,P$4+6&gt;=$E12,P$4&lt;=$F12),1,"")</f>
        <v/>
      </c>
      <c r="Q12" s="41" t="str">
        <f>IF(AND($E12&gt;0,$F12&gt;0,Q$4+6&gt;=$E12,Q$4&lt;=$F12),1,"")</f>
        <v/>
      </c>
      <c r="R12" s="42" t="str">
        <f>IF(AND($E12&gt;0,$F12&gt;0,R$4+6&gt;=$E12,R$4&lt;=$F12),1,"")</f>
        <v/>
      </c>
      <c r="S12" s="40" t="str">
        <f>IF(AND($E12&gt;0,$F12&gt;0,S$4+6&gt;=$E12,S$4&lt;=$F12),1,"")</f>
        <v/>
      </c>
      <c r="T12" s="40" t="str">
        <f>IF(AND($E12&gt;0,$F12&gt;0,T$4+6&gt;=$E12,T$4&lt;=$F12),1,"")</f>
        <v/>
      </c>
      <c r="U12" s="40" t="str">
        <f>IF(AND($E12&gt;0,$F12&gt;0,U$4+6&gt;=$E12,U$4&lt;=$F12),1,"")</f>
        <v/>
      </c>
      <c r="V12" s="40" t="str">
        <f>IF(AND($E12&gt;0,$F12&gt;0,V$4+6&gt;=$E12,V$4&lt;=$F12),1,"")</f>
        <v/>
      </c>
      <c r="W12" s="40" t="str">
        <f>IF(AND($E12&gt;0,$F12&gt;0,W$4+6&gt;=$E12,W$4&lt;=$F12),1,"")</f>
        <v/>
      </c>
      <c r="X12" s="40" t="str">
        <f>IF(AND($E12&gt;0,$F12&gt;0,X$4+6&gt;=$E12,X$4&lt;=$F12),1,"")</f>
        <v/>
      </c>
      <c r="Y12" s="40" t="str">
        <f>IF(AND($E12&gt;0,$F12&gt;0,Y$4+6&gt;=$E12,Y$4&lt;=$F12),1,"")</f>
        <v/>
      </c>
      <c r="Z12" s="40" t="str">
        <f>IF(AND($E12&gt;0,$F12&gt;0,Z$4+6&gt;=$E12,Z$4&lt;=$F12),1,"")</f>
        <v/>
      </c>
      <c r="AA12" s="40" t="str">
        <f>IF(AND($E12&gt;0,$F12&gt;0,AA$4+6&gt;=$E12,AA$4&lt;=$F12),1,"")</f>
        <v/>
      </c>
      <c r="AB12" s="40" t="str">
        <f>IF(AND($E12&gt;0,$F12&gt;0,AB$4+6&gt;=$E12,AB$4&lt;=$F12),1,"")</f>
        <v/>
      </c>
      <c r="AC12" s="40" t="str">
        <f>IF(AND($E12&gt;0,$F12&gt;0,AC$4+6&gt;=$E12,AC$4&lt;=$F12),1,"")</f>
        <v/>
      </c>
      <c r="AD12" s="40" t="str">
        <f>IF(AND($E12&gt;0,$F12&gt;0,AD$4+6&gt;=$E12,AD$4&lt;=$F12),1,"")</f>
        <v/>
      </c>
      <c r="AE12" s="40" t="str">
        <f>IF(AND($E12&gt;0,$F12&gt;0,AE$4+6&gt;=$E12,AE$4&lt;=$F12),1,"")</f>
        <v/>
      </c>
      <c r="AF12" s="40" t="str">
        <f>IF(AND($E12&gt;0,$F12&gt;0,AF$4+6&gt;=$E12,AF$4&lt;=$F12),1,"")</f>
        <v/>
      </c>
      <c r="AG12" s="40" t="str">
        <f>IF(AND($E12&gt;0,$F12&gt;0,AG$4+6&gt;=$E12,AG$4&lt;=$F12),1,"")</f>
        <v/>
      </c>
      <c r="AH12" s="40" t="str">
        <f>IF(AND($E12&gt;0,$F12&gt;0,AH$4+6&gt;=$E12,AH$4&lt;=$F12),1,"")</f>
        <v/>
      </c>
      <c r="AI12" s="40" t="str">
        <f>IF(AND($E12&gt;0,$F12&gt;0,AI$4+6&gt;=$E12,AI$4&lt;=$F12),1,"")</f>
        <v/>
      </c>
      <c r="AJ12" s="40" t="str">
        <f>IF(AND($E12&gt;0,$F12&gt;0,AJ$4+6&gt;=$E12,AJ$4&lt;=$F12),1,"")</f>
        <v/>
      </c>
      <c r="AK12" s="40" t="str">
        <f>IF(AND($E12&gt;0,$F12&gt;0,AK$4+6&gt;=$E12,AK$4&lt;=$F12),1,"")</f>
        <v/>
      </c>
      <c r="AL12" s="40" t="str">
        <f>IF(AND($E12&gt;0,$F12&gt;0,AL$4+6&gt;=$E12,AL$4&lt;=$F12),1,"")</f>
        <v/>
      </c>
      <c r="AM12" s="40" t="str">
        <f>IF(AND($E12&gt;0,$F12&gt;0,AM$4+6&gt;=$E12,AM$4&lt;=$F12),1,"")</f>
        <v/>
      </c>
      <c r="AN12" s="40" t="str">
        <f>IF(AND($E12&gt;0,$F12&gt;0,AN$4+6&gt;=$E12,AN$4&lt;=$F12),1,"")</f>
        <v/>
      </c>
      <c r="AO12" s="40" t="str">
        <f>IF(AND($E12&gt;0,$F12&gt;0,AO$4+6&gt;=$E12,AO$4&lt;=$F12),1,"")</f>
        <v/>
      </c>
      <c r="AP12" s="40" t="str">
        <f>IF(AND($E12&gt;0,$F12&gt;0,AP$4+6&gt;=$E12,AP$4&lt;=$F12),1,"")</f>
        <v/>
      </c>
      <c r="AQ12" s="40" t="str">
        <f>IF(AND($E12&gt;0,$F12&gt;0,AQ$4+6&gt;=$E12,AQ$4&lt;=$F12),1,"")</f>
        <v/>
      </c>
      <c r="AR12" s="40" t="str">
        <f>IF(AND($E12&gt;0,$F12&gt;0,AR$4+6&gt;=$E12,AR$4&lt;=$F12),1,"")</f>
        <v/>
      </c>
      <c r="AS12" s="40" t="str">
        <f>IF(AND($E12&gt;0,$F12&gt;0,AS$4+6&gt;=$E12,AS$4&lt;=$F12),1,"")</f>
        <v/>
      </c>
      <c r="AT12" s="40" t="str">
        <f>IF(AND($E12&gt;0,$F12&gt;0,AT$4+6&gt;=$E12,AT$4&lt;=$F12),1,"")</f>
        <v/>
      </c>
      <c r="AU12" s="40" t="str">
        <f>IF(AND($E12&gt;0,$F12&gt;0,AU$4+6&gt;=$E12,AU$4&lt;=$F12),1,"")</f>
        <v/>
      </c>
      <c r="AV12" s="40" t="str">
        <f>IF(AND($E12&gt;0,$F12&gt;0,AV$4+6&gt;=$E12,AV$4&lt;=$F12),1,"")</f>
        <v/>
      </c>
      <c r="AW12" s="40" t="str">
        <f>IF(AND($E12&gt;0,$F12&gt;0,AW$4+6&gt;=$E12,AW$4&lt;=$F12),1,"")</f>
        <v/>
      </c>
      <c r="AX12" s="40" t="str">
        <f>IF(AND($E12&gt;0,$F12&gt;0,AX$4+6&gt;=$E12,AX$4&lt;=$F12),1,"")</f>
        <v/>
      </c>
      <c r="AY12" s="40" t="str">
        <f>IF(AND($E12&gt;0,$F12&gt;0,AY$4+6&gt;=$E12,AY$4&lt;=$F12),1,"")</f>
        <v/>
      </c>
      <c r="AZ12" s="40" t="str">
        <f>IF(AND($E12&gt;0,$F12&gt;0,AZ$4+6&gt;=$E12,AZ$4&lt;=$F12),1,"")</f>
        <v/>
      </c>
      <c r="BA12" s="40" t="str">
        <f>IF(AND($E12&gt;0,$F12&gt;0,BA$4+6&gt;=$E12,BA$4&lt;=$F12),1,"")</f>
        <v/>
      </c>
      <c r="BB12" s="40" t="str">
        <f>IF(AND($E12&gt;0,$F12&gt;0,BB$4+6&gt;=$E12,BB$4&lt;=$F12),1,"")</f>
        <v/>
      </c>
      <c r="BC12" s="40" t="str">
        <f>IF(AND($E12&gt;0,$F12&gt;0,BC$4+6&gt;=$E12,BC$4&lt;=$F12),1,"")</f>
        <v/>
      </c>
      <c r="BD12" s="40" t="str">
        <f>IF(AND($E12&gt;0,$F12&gt;0,BD$4+6&gt;=$E12,BD$4&lt;=$F12),1,"")</f>
        <v/>
      </c>
      <c r="BE12" s="40" t="str">
        <f>IF(AND($E12&gt;0,$F12&gt;0,BE$4+6&gt;=$E12,BE$4&lt;=$F12),1,"")</f>
        <v/>
      </c>
      <c r="BF12" s="40" t="str">
        <f>IF(AND($E12&gt;0,$F12&gt;0,BF$4+6&gt;=$E12,BF$4&lt;=$F12),1,"")</f>
        <v/>
      </c>
    </row>
    <row r="13" spans="1:58">
      <c r="A13" s="43">
        <v>9</v>
      </c>
      <c r="B13" s="36" t="str" cm="1">
        <f t="array" ref="B13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ETE-16</v>
      </c>
      <c r="C13" s="37" t="str" cm="1">
        <f t="array" ref="C13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Partial Pay w/ CC from WMERP</v>
      </c>
      <c r="D13" s="36" t="str" cm="1">
        <f t="array" ref="D13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⚪ NOT STARTED</v>
      </c>
      <c r="E13" s="38" t="str" cm="1">
        <f t="array" ref="E13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13" s="39" t="str" cm="1">
        <f t="array" ref="F13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13" s="40" t="str">
        <f t="shared" si="0"/>
        <v/>
      </c>
      <c r="H13" s="40" t="str">
        <f t="shared" si="0"/>
        <v/>
      </c>
      <c r="I13" s="40" t="str">
        <f t="shared" si="0"/>
        <v/>
      </c>
      <c r="J13" s="40" t="str">
        <f t="shared" si="0"/>
        <v/>
      </c>
      <c r="K13" s="40" t="str">
        <f t="shared" si="0"/>
        <v/>
      </c>
      <c r="L13" s="40" t="str">
        <f t="shared" si="0"/>
        <v/>
      </c>
      <c r="M13" s="40" t="str">
        <f t="shared" si="0"/>
        <v/>
      </c>
      <c r="N13" s="40" t="str">
        <f t="shared" si="0"/>
        <v/>
      </c>
      <c r="O13" s="40" t="str">
        <f t="shared" si="0"/>
        <v/>
      </c>
      <c r="P13" s="41" t="str">
        <f t="shared" si="0"/>
        <v/>
      </c>
      <c r="Q13" s="41" t="str">
        <f t="shared" si="0"/>
        <v/>
      </c>
      <c r="R13" s="42" t="str">
        <f t="shared" si="0"/>
        <v/>
      </c>
      <c r="S13" s="40" t="str">
        <f t="shared" si="0"/>
        <v/>
      </c>
      <c r="T13" s="40" t="str">
        <f t="shared" si="0"/>
        <v/>
      </c>
      <c r="U13" s="40" t="str">
        <f t="shared" si="0"/>
        <v/>
      </c>
      <c r="V13" s="40" t="str">
        <f t="shared" si="0"/>
        <v/>
      </c>
      <c r="W13" s="40" t="str">
        <f t="shared" si="2"/>
        <v/>
      </c>
      <c r="X13" s="40" t="str">
        <f t="shared" si="2"/>
        <v/>
      </c>
      <c r="Y13" s="40" t="str">
        <f t="shared" si="2"/>
        <v/>
      </c>
      <c r="Z13" s="40" t="str">
        <f t="shared" si="2"/>
        <v/>
      </c>
      <c r="AA13" s="40" t="str">
        <f t="shared" si="2"/>
        <v/>
      </c>
      <c r="AB13" s="40" t="str">
        <f t="shared" si="2"/>
        <v/>
      </c>
      <c r="AC13" s="40" t="str">
        <f t="shared" si="2"/>
        <v/>
      </c>
      <c r="AD13" s="40" t="str">
        <f t="shared" si="2"/>
        <v/>
      </c>
      <c r="AE13" s="40" t="str">
        <f t="shared" si="2"/>
        <v/>
      </c>
      <c r="AF13" s="40" t="str">
        <f t="shared" si="2"/>
        <v/>
      </c>
      <c r="AG13" s="40" t="str">
        <f t="shared" si="2"/>
        <v/>
      </c>
      <c r="AH13" s="40" t="str">
        <f t="shared" si="2"/>
        <v/>
      </c>
      <c r="AI13" s="40" t="str">
        <f t="shared" si="2"/>
        <v/>
      </c>
      <c r="AJ13" s="40" t="str">
        <f t="shared" si="2"/>
        <v/>
      </c>
      <c r="AK13" s="40" t="str">
        <f t="shared" si="2"/>
        <v/>
      </c>
      <c r="AL13" s="40" t="str">
        <f t="shared" si="2"/>
        <v/>
      </c>
      <c r="AM13" s="40" t="str">
        <f t="shared" si="3"/>
        <v/>
      </c>
      <c r="AN13" s="40" t="str">
        <f t="shared" si="3"/>
        <v/>
      </c>
      <c r="AO13" s="40" t="str">
        <f t="shared" si="3"/>
        <v/>
      </c>
      <c r="AP13" s="40" t="str">
        <f t="shared" si="3"/>
        <v/>
      </c>
      <c r="AQ13" s="40" t="str">
        <f t="shared" si="3"/>
        <v/>
      </c>
      <c r="AR13" s="40" t="str">
        <f t="shared" si="3"/>
        <v/>
      </c>
      <c r="AS13" s="40" t="str">
        <f t="shared" si="3"/>
        <v/>
      </c>
      <c r="AT13" s="40" t="str">
        <f t="shared" si="3"/>
        <v/>
      </c>
      <c r="AU13" s="40" t="str">
        <f t="shared" si="3"/>
        <v/>
      </c>
      <c r="AV13" s="40" t="str">
        <f t="shared" si="3"/>
        <v/>
      </c>
      <c r="AW13" s="40" t="str">
        <f t="shared" si="3"/>
        <v/>
      </c>
      <c r="AX13" s="40" t="str">
        <f t="shared" si="3"/>
        <v/>
      </c>
      <c r="AY13" s="40" t="str">
        <f t="shared" si="3"/>
        <v/>
      </c>
      <c r="AZ13" s="40" t="str">
        <f t="shared" si="3"/>
        <v/>
      </c>
      <c r="BA13" s="40" t="str">
        <f t="shared" si="3"/>
        <v/>
      </c>
      <c r="BB13" s="40" t="str">
        <f t="shared" si="3"/>
        <v/>
      </c>
      <c r="BC13" s="40" t="str">
        <f t="shared" si="4"/>
        <v/>
      </c>
      <c r="BD13" s="40" t="str">
        <f t="shared" si="4"/>
        <v/>
      </c>
      <c r="BE13" s="40" t="str">
        <f t="shared" si="4"/>
        <v/>
      </c>
      <c r="BF13" s="40" t="str">
        <f t="shared" si="4"/>
        <v/>
      </c>
    </row>
    <row r="14" spans="1:58">
      <c r="A14" s="35">
        <v>10</v>
      </c>
      <c r="B14" s="36" t="str" cm="1">
        <f t="array" ref="B14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ETE-37</v>
      </c>
      <c r="C14" s="37" t="str" cm="1">
        <f t="array" ref="C14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Magic Search in BuyETE</v>
      </c>
      <c r="D14" s="36" t="str" cm="1">
        <f t="array" ref="D14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📋 NEEDS TECHNICAL SPEC</v>
      </c>
      <c r="E14" s="38" t="str" cm="1">
        <f t="array" ref="E14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14" s="39" t="str" cm="1">
        <f t="array" ref="F14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14" s="40" t="str">
        <f t="shared" si="0"/>
        <v/>
      </c>
      <c r="H14" s="40" t="str">
        <f t="shared" si="0"/>
        <v/>
      </c>
      <c r="I14" s="40" t="str">
        <f t="shared" si="0"/>
        <v/>
      </c>
      <c r="J14" s="40" t="str">
        <f t="shared" si="0"/>
        <v/>
      </c>
      <c r="K14" s="40" t="str">
        <f t="shared" si="0"/>
        <v/>
      </c>
      <c r="L14" s="40" t="str">
        <f t="shared" si="0"/>
        <v/>
      </c>
      <c r="M14" s="40" t="str">
        <f t="shared" si="0"/>
        <v/>
      </c>
      <c r="N14" s="40" t="str">
        <f t="shared" si="0"/>
        <v/>
      </c>
      <c r="O14" s="40" t="str">
        <f t="shared" si="0"/>
        <v/>
      </c>
      <c r="P14" s="41" t="str">
        <f t="shared" si="0"/>
        <v/>
      </c>
      <c r="Q14" s="41" t="str">
        <f t="shared" si="0"/>
        <v/>
      </c>
      <c r="R14" s="42" t="str">
        <f t="shared" si="0"/>
        <v/>
      </c>
      <c r="S14" s="40" t="str">
        <f t="shared" si="0"/>
        <v/>
      </c>
      <c r="T14" s="40" t="str">
        <f t="shared" si="0"/>
        <v/>
      </c>
      <c r="U14" s="40" t="str">
        <f t="shared" si="0"/>
        <v/>
      </c>
      <c r="V14" s="40" t="str">
        <f t="shared" si="0"/>
        <v/>
      </c>
      <c r="W14" s="40" t="str">
        <f t="shared" si="2"/>
        <v/>
      </c>
      <c r="X14" s="40" t="str">
        <f t="shared" si="2"/>
        <v/>
      </c>
      <c r="Y14" s="40" t="str">
        <f t="shared" si="2"/>
        <v/>
      </c>
      <c r="Z14" s="40" t="str">
        <f t="shared" si="2"/>
        <v/>
      </c>
      <c r="AA14" s="40" t="str">
        <f t="shared" si="2"/>
        <v/>
      </c>
      <c r="AB14" s="40" t="str">
        <f t="shared" si="2"/>
        <v/>
      </c>
      <c r="AC14" s="40" t="str">
        <f t="shared" si="2"/>
        <v/>
      </c>
      <c r="AD14" s="40" t="str">
        <f t="shared" si="2"/>
        <v/>
      </c>
      <c r="AE14" s="40" t="str">
        <f t="shared" si="2"/>
        <v/>
      </c>
      <c r="AF14" s="40" t="str">
        <f t="shared" si="2"/>
        <v/>
      </c>
      <c r="AG14" s="40" t="str">
        <f t="shared" si="2"/>
        <v/>
      </c>
      <c r="AH14" s="40" t="str">
        <f t="shared" si="2"/>
        <v/>
      </c>
      <c r="AI14" s="40" t="str">
        <f t="shared" si="2"/>
        <v/>
      </c>
      <c r="AJ14" s="40" t="str">
        <f t="shared" si="2"/>
        <v/>
      </c>
      <c r="AK14" s="40" t="str">
        <f t="shared" si="2"/>
        <v/>
      </c>
      <c r="AL14" s="40" t="str">
        <f t="shared" si="2"/>
        <v/>
      </c>
      <c r="AM14" s="40" t="str">
        <f t="shared" si="3"/>
        <v/>
      </c>
      <c r="AN14" s="40" t="str">
        <f t="shared" si="3"/>
        <v/>
      </c>
      <c r="AO14" s="40" t="str">
        <f t="shared" si="3"/>
        <v/>
      </c>
      <c r="AP14" s="40" t="str">
        <f t="shared" si="3"/>
        <v/>
      </c>
      <c r="AQ14" s="40" t="str">
        <f t="shared" si="3"/>
        <v/>
      </c>
      <c r="AR14" s="40" t="str">
        <f t="shared" si="3"/>
        <v/>
      </c>
      <c r="AS14" s="40" t="str">
        <f t="shared" si="3"/>
        <v/>
      </c>
      <c r="AT14" s="40" t="str">
        <f t="shared" si="3"/>
        <v/>
      </c>
      <c r="AU14" s="40" t="str">
        <f t="shared" si="3"/>
        <v/>
      </c>
      <c r="AV14" s="40" t="str">
        <f t="shared" si="3"/>
        <v/>
      </c>
      <c r="AW14" s="40" t="str">
        <f t="shared" si="3"/>
        <v/>
      </c>
      <c r="AX14" s="40" t="str">
        <f t="shared" si="3"/>
        <v/>
      </c>
      <c r="AY14" s="40" t="str">
        <f t="shared" si="3"/>
        <v/>
      </c>
      <c r="AZ14" s="40" t="str">
        <f t="shared" si="3"/>
        <v/>
      </c>
      <c r="BA14" s="40" t="str">
        <f t="shared" si="3"/>
        <v/>
      </c>
      <c r="BB14" s="40" t="str">
        <f t="shared" si="3"/>
        <v/>
      </c>
      <c r="BC14" s="40" t="str">
        <f t="shared" si="4"/>
        <v/>
      </c>
      <c r="BD14" s="40" t="str">
        <f t="shared" si="4"/>
        <v/>
      </c>
      <c r="BE14" s="40" t="str">
        <f t="shared" si="4"/>
        <v/>
      </c>
      <c r="BF14" s="40" t="str">
        <f t="shared" si="4"/>
        <v/>
      </c>
    </row>
    <row r="15" spans="1:58">
      <c r="A15" s="35">
        <v>11</v>
      </c>
      <c r="B15" s="36" t="str" cm="1">
        <f t="array" ref="B15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ETE-97</v>
      </c>
      <c r="C15" s="37" t="str" cm="1">
        <f t="array" ref="C15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Standard Order Process Notifications</v>
      </c>
      <c r="D15" s="36" t="str" cm="1">
        <f t="array" ref="D15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⚪ NOT STARTED</v>
      </c>
      <c r="E15" s="38" t="str" cm="1">
        <f t="array" ref="E15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15" s="39" t="str" cm="1">
        <f t="array" ref="F15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15" s="40" t="str">
        <f t="shared" si="0"/>
        <v/>
      </c>
      <c r="H15" s="40" t="str">
        <f t="shared" si="0"/>
        <v/>
      </c>
      <c r="I15" s="40" t="str">
        <f t="shared" si="0"/>
        <v/>
      </c>
      <c r="J15" s="40" t="str">
        <f t="shared" si="0"/>
        <v/>
      </c>
      <c r="K15" s="40" t="str">
        <f t="shared" si="0"/>
        <v/>
      </c>
      <c r="L15" s="40" t="str">
        <f t="shared" si="0"/>
        <v/>
      </c>
      <c r="M15" s="40" t="str">
        <f t="shared" si="0"/>
        <v/>
      </c>
      <c r="N15" s="40" t="str">
        <f t="shared" si="0"/>
        <v/>
      </c>
      <c r="O15" s="40" t="str">
        <f t="shared" si="0"/>
        <v/>
      </c>
      <c r="P15" s="41" t="str">
        <f t="shared" si="0"/>
        <v/>
      </c>
      <c r="Q15" s="41" t="str">
        <f t="shared" si="0"/>
        <v/>
      </c>
      <c r="R15" s="42" t="str">
        <f t="shared" si="0"/>
        <v/>
      </c>
      <c r="S15" s="40" t="str">
        <f t="shared" si="0"/>
        <v/>
      </c>
      <c r="T15" s="40" t="str">
        <f t="shared" si="0"/>
        <v/>
      </c>
      <c r="U15" s="40" t="str">
        <f t="shared" si="0"/>
        <v/>
      </c>
      <c r="V15" s="40" t="str">
        <f t="shared" si="0"/>
        <v/>
      </c>
      <c r="W15" s="40" t="str">
        <f t="shared" si="2"/>
        <v/>
      </c>
      <c r="X15" s="40" t="str">
        <f t="shared" si="2"/>
        <v/>
      </c>
      <c r="Y15" s="40" t="str">
        <f t="shared" si="2"/>
        <v/>
      </c>
      <c r="Z15" s="40" t="str">
        <f t="shared" si="2"/>
        <v/>
      </c>
      <c r="AA15" s="40" t="str">
        <f t="shared" si="2"/>
        <v/>
      </c>
      <c r="AB15" s="40" t="str">
        <f t="shared" si="2"/>
        <v/>
      </c>
      <c r="AC15" s="40" t="str">
        <f t="shared" si="2"/>
        <v/>
      </c>
      <c r="AD15" s="40" t="str">
        <f t="shared" si="2"/>
        <v/>
      </c>
      <c r="AE15" s="40" t="str">
        <f t="shared" si="2"/>
        <v/>
      </c>
      <c r="AF15" s="40" t="str">
        <f t="shared" si="2"/>
        <v/>
      </c>
      <c r="AG15" s="40" t="str">
        <f t="shared" si="2"/>
        <v/>
      </c>
      <c r="AH15" s="40" t="str">
        <f t="shared" si="2"/>
        <v/>
      </c>
      <c r="AI15" s="40" t="str">
        <f t="shared" si="2"/>
        <v/>
      </c>
      <c r="AJ15" s="40" t="str">
        <f t="shared" si="2"/>
        <v/>
      </c>
      <c r="AK15" s="40" t="str">
        <f t="shared" si="2"/>
        <v/>
      </c>
      <c r="AL15" s="40" t="str">
        <f t="shared" si="2"/>
        <v/>
      </c>
      <c r="AM15" s="40" t="str">
        <f t="shared" si="3"/>
        <v/>
      </c>
      <c r="AN15" s="40" t="str">
        <f t="shared" si="3"/>
        <v/>
      </c>
      <c r="AO15" s="40" t="str">
        <f t="shared" si="3"/>
        <v/>
      </c>
      <c r="AP15" s="40" t="str">
        <f t="shared" si="3"/>
        <v/>
      </c>
      <c r="AQ15" s="40" t="str">
        <f t="shared" si="3"/>
        <v/>
      </c>
      <c r="AR15" s="40" t="str">
        <f t="shared" si="3"/>
        <v/>
      </c>
      <c r="AS15" s="40" t="str">
        <f t="shared" si="3"/>
        <v/>
      </c>
      <c r="AT15" s="40" t="str">
        <f t="shared" si="3"/>
        <v/>
      </c>
      <c r="AU15" s="40" t="str">
        <f t="shared" si="3"/>
        <v/>
      </c>
      <c r="AV15" s="40" t="str">
        <f t="shared" si="3"/>
        <v/>
      </c>
      <c r="AW15" s="40" t="str">
        <f t="shared" si="3"/>
        <v/>
      </c>
      <c r="AX15" s="40" t="str">
        <f t="shared" si="3"/>
        <v/>
      </c>
      <c r="AY15" s="40" t="str">
        <f t="shared" si="3"/>
        <v/>
      </c>
      <c r="AZ15" s="40" t="str">
        <f t="shared" si="3"/>
        <v/>
      </c>
      <c r="BA15" s="40" t="str">
        <f t="shared" si="3"/>
        <v/>
      </c>
      <c r="BB15" s="40" t="str">
        <f t="shared" si="3"/>
        <v/>
      </c>
      <c r="BC15" s="40" t="str">
        <f t="shared" si="4"/>
        <v/>
      </c>
      <c r="BD15" s="40" t="str">
        <f t="shared" si="4"/>
        <v/>
      </c>
      <c r="BE15" s="40" t="str">
        <f t="shared" si="4"/>
        <v/>
      </c>
      <c r="BF15" s="40" t="str">
        <f t="shared" si="4"/>
        <v/>
      </c>
    </row>
    <row r="16" spans="1:58">
      <c r="A16" s="43">
        <v>12</v>
      </c>
      <c r="B16" s="36" t="str" cm="1">
        <f t="array" ref="B16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ETE-100</v>
      </c>
      <c r="C16" s="37" t="str" cm="1">
        <f t="array" ref="C16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ATSG Expired Members Self-Payment</v>
      </c>
      <c r="D16" s="36" t="str" cm="1">
        <f t="array" ref="D16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📋 NEEDS FUNCTIONAL SPEC</v>
      </c>
      <c r="E16" s="38" t="str" cm="1">
        <f t="array" ref="E16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16" s="39" t="str" cm="1">
        <f t="array" ref="F16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16" s="40" t="str">
        <f t="shared" si="0"/>
        <v/>
      </c>
      <c r="H16" s="40" t="str">
        <f t="shared" si="0"/>
        <v/>
      </c>
      <c r="I16" s="40" t="str">
        <f t="shared" si="0"/>
        <v/>
      </c>
      <c r="J16" s="40" t="str">
        <f t="shared" si="0"/>
        <v/>
      </c>
      <c r="K16" s="40" t="str">
        <f t="shared" si="0"/>
        <v/>
      </c>
      <c r="L16" s="40" t="str">
        <f t="shared" si="0"/>
        <v/>
      </c>
      <c r="M16" s="40" t="str">
        <f t="shared" si="0"/>
        <v/>
      </c>
      <c r="N16" s="40" t="str">
        <f t="shared" si="0"/>
        <v/>
      </c>
      <c r="O16" s="40" t="str">
        <f t="shared" si="0"/>
        <v/>
      </c>
      <c r="P16" s="41" t="str">
        <f t="shared" si="0"/>
        <v/>
      </c>
      <c r="Q16" s="41" t="str">
        <f t="shared" si="0"/>
        <v/>
      </c>
      <c r="R16" s="42" t="str">
        <f t="shared" si="0"/>
        <v/>
      </c>
      <c r="S16" s="40" t="str">
        <f t="shared" si="0"/>
        <v/>
      </c>
      <c r="T16" s="40" t="str">
        <f t="shared" si="0"/>
        <v/>
      </c>
      <c r="U16" s="40" t="str">
        <f t="shared" si="0"/>
        <v/>
      </c>
      <c r="V16" s="40" t="str">
        <f t="shared" si="0"/>
        <v/>
      </c>
      <c r="W16" s="40" t="str">
        <f t="shared" si="2"/>
        <v/>
      </c>
      <c r="X16" s="40" t="str">
        <f t="shared" si="2"/>
        <v/>
      </c>
      <c r="Y16" s="40" t="str">
        <f t="shared" si="2"/>
        <v/>
      </c>
      <c r="Z16" s="40" t="str">
        <f t="shared" si="2"/>
        <v/>
      </c>
      <c r="AA16" s="40" t="str">
        <f t="shared" si="2"/>
        <v/>
      </c>
      <c r="AB16" s="40" t="str">
        <f t="shared" si="2"/>
        <v/>
      </c>
      <c r="AC16" s="40" t="str">
        <f t="shared" si="2"/>
        <v/>
      </c>
      <c r="AD16" s="40" t="str">
        <f t="shared" si="2"/>
        <v/>
      </c>
      <c r="AE16" s="40" t="str">
        <f t="shared" si="2"/>
        <v/>
      </c>
      <c r="AF16" s="40" t="str">
        <f t="shared" si="2"/>
        <v/>
      </c>
      <c r="AG16" s="40" t="str">
        <f t="shared" si="2"/>
        <v/>
      </c>
      <c r="AH16" s="40" t="str">
        <f t="shared" si="2"/>
        <v/>
      </c>
      <c r="AI16" s="40" t="str">
        <f t="shared" si="2"/>
        <v/>
      </c>
      <c r="AJ16" s="40" t="str">
        <f t="shared" si="2"/>
        <v/>
      </c>
      <c r="AK16" s="40" t="str">
        <f t="shared" si="2"/>
        <v/>
      </c>
      <c r="AL16" s="40" t="str">
        <f t="shared" si="2"/>
        <v/>
      </c>
      <c r="AM16" s="40" t="str">
        <f t="shared" si="3"/>
        <v/>
      </c>
      <c r="AN16" s="40" t="str">
        <f t="shared" si="3"/>
        <v/>
      </c>
      <c r="AO16" s="40" t="str">
        <f t="shared" si="3"/>
        <v/>
      </c>
      <c r="AP16" s="40" t="str">
        <f t="shared" si="3"/>
        <v/>
      </c>
      <c r="AQ16" s="40" t="str">
        <f t="shared" si="3"/>
        <v/>
      </c>
      <c r="AR16" s="40" t="str">
        <f t="shared" si="3"/>
        <v/>
      </c>
      <c r="AS16" s="40" t="str">
        <f t="shared" si="3"/>
        <v/>
      </c>
      <c r="AT16" s="40" t="str">
        <f t="shared" si="3"/>
        <v/>
      </c>
      <c r="AU16" s="40" t="str">
        <f t="shared" si="3"/>
        <v/>
      </c>
      <c r="AV16" s="40" t="str">
        <f t="shared" si="3"/>
        <v/>
      </c>
      <c r="AW16" s="40" t="str">
        <f t="shared" si="3"/>
        <v/>
      </c>
      <c r="AX16" s="40" t="str">
        <f t="shared" si="3"/>
        <v/>
      </c>
      <c r="AY16" s="40" t="str">
        <f t="shared" si="3"/>
        <v/>
      </c>
      <c r="AZ16" s="40" t="str">
        <f t="shared" si="3"/>
        <v/>
      </c>
      <c r="BA16" s="40" t="str">
        <f t="shared" si="3"/>
        <v/>
      </c>
      <c r="BB16" s="40" t="str">
        <f t="shared" si="3"/>
        <v/>
      </c>
      <c r="BC16" s="40" t="str">
        <f t="shared" si="4"/>
        <v/>
      </c>
      <c r="BD16" s="40" t="str">
        <f t="shared" si="4"/>
        <v/>
      </c>
      <c r="BE16" s="40" t="str">
        <f t="shared" si="4"/>
        <v/>
      </c>
      <c r="BF16" s="40" t="str">
        <f t="shared" si="4"/>
        <v/>
      </c>
    </row>
    <row r="17" spans="1:58">
      <c r="A17" s="35">
        <v>13</v>
      </c>
      <c r="B17" s="36" t="str" cm="1">
        <f t="array" ref="B17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ETE-124</v>
      </c>
      <c r="C17" s="37" t="str" cm="1">
        <f t="array" ref="C17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Clean Up Return Loads</v>
      </c>
      <c r="D17" s="36" t="str" cm="1">
        <f t="array" ref="D17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>📋 NEEDS TECHNICAL SPEC</v>
      </c>
      <c r="E17" s="38" t="str" cm="1">
        <f t="array" ref="E17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17" s="39" t="str" cm="1">
        <f t="array" ref="F17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17" s="40" t="str">
        <f t="shared" si="0"/>
        <v/>
      </c>
      <c r="H17" s="40" t="str">
        <f t="shared" si="0"/>
        <v/>
      </c>
      <c r="I17" s="40" t="str">
        <f t="shared" si="0"/>
        <v/>
      </c>
      <c r="J17" s="40" t="str">
        <f t="shared" si="0"/>
        <v/>
      </c>
      <c r="K17" s="40" t="str">
        <f t="shared" si="0"/>
        <v/>
      </c>
      <c r="L17" s="40" t="str">
        <f t="shared" si="0"/>
        <v/>
      </c>
      <c r="M17" s="40" t="str">
        <f t="shared" si="0"/>
        <v/>
      </c>
      <c r="N17" s="40" t="str">
        <f t="shared" si="0"/>
        <v/>
      </c>
      <c r="O17" s="40" t="str">
        <f t="shared" si="0"/>
        <v/>
      </c>
      <c r="P17" s="41" t="str">
        <f t="shared" si="0"/>
        <v/>
      </c>
      <c r="Q17" s="41" t="str">
        <f t="shared" si="0"/>
        <v/>
      </c>
      <c r="R17" s="42" t="str">
        <f t="shared" si="0"/>
        <v/>
      </c>
      <c r="S17" s="40" t="str">
        <f t="shared" si="0"/>
        <v/>
      </c>
      <c r="T17" s="40" t="str">
        <f t="shared" si="0"/>
        <v/>
      </c>
      <c r="U17" s="40" t="str">
        <f t="shared" si="0"/>
        <v/>
      </c>
      <c r="V17" s="40" t="str">
        <f t="shared" si="0"/>
        <v/>
      </c>
      <c r="W17" s="40" t="str">
        <f t="shared" si="2"/>
        <v/>
      </c>
      <c r="X17" s="40" t="str">
        <f t="shared" si="2"/>
        <v/>
      </c>
      <c r="Y17" s="40" t="str">
        <f t="shared" si="2"/>
        <v/>
      </c>
      <c r="Z17" s="40" t="str">
        <f t="shared" si="2"/>
        <v/>
      </c>
      <c r="AA17" s="40" t="str">
        <f t="shared" si="2"/>
        <v/>
      </c>
      <c r="AB17" s="40" t="str">
        <f t="shared" si="2"/>
        <v/>
      </c>
      <c r="AC17" s="40" t="str">
        <f t="shared" si="2"/>
        <v/>
      </c>
      <c r="AD17" s="40" t="str">
        <f t="shared" si="2"/>
        <v/>
      </c>
      <c r="AE17" s="40" t="str">
        <f t="shared" si="2"/>
        <v/>
      </c>
      <c r="AF17" s="40" t="str">
        <f t="shared" si="2"/>
        <v/>
      </c>
      <c r="AG17" s="40" t="str">
        <f t="shared" si="2"/>
        <v/>
      </c>
      <c r="AH17" s="40" t="str">
        <f t="shared" si="2"/>
        <v/>
      </c>
      <c r="AI17" s="40" t="str">
        <f t="shared" si="2"/>
        <v/>
      </c>
      <c r="AJ17" s="40" t="str">
        <f t="shared" si="2"/>
        <v/>
      </c>
      <c r="AK17" s="40" t="str">
        <f t="shared" si="2"/>
        <v/>
      </c>
      <c r="AL17" s="40" t="str">
        <f t="shared" si="2"/>
        <v/>
      </c>
      <c r="AM17" s="40" t="str">
        <f t="shared" si="3"/>
        <v/>
      </c>
      <c r="AN17" s="40" t="str">
        <f t="shared" si="3"/>
        <v/>
      </c>
      <c r="AO17" s="40" t="str">
        <f t="shared" si="3"/>
        <v/>
      </c>
      <c r="AP17" s="40" t="str">
        <f t="shared" si="3"/>
        <v/>
      </c>
      <c r="AQ17" s="40" t="str">
        <f t="shared" si="3"/>
        <v/>
      </c>
      <c r="AR17" s="40" t="str">
        <f t="shared" si="3"/>
        <v/>
      </c>
      <c r="AS17" s="40" t="str">
        <f t="shared" si="3"/>
        <v/>
      </c>
      <c r="AT17" s="40" t="str">
        <f t="shared" si="3"/>
        <v/>
      </c>
      <c r="AU17" s="40" t="str">
        <f t="shared" si="3"/>
        <v/>
      </c>
      <c r="AV17" s="40" t="str">
        <f t="shared" si="3"/>
        <v/>
      </c>
      <c r="AW17" s="40" t="str">
        <f t="shared" si="3"/>
        <v/>
      </c>
      <c r="AX17" s="40" t="str">
        <f t="shared" si="3"/>
        <v/>
      </c>
      <c r="AY17" s="40" t="str">
        <f t="shared" si="3"/>
        <v/>
      </c>
      <c r="AZ17" s="40" t="str">
        <f t="shared" si="3"/>
        <v/>
      </c>
      <c r="BA17" s="40" t="str">
        <f t="shared" si="3"/>
        <v/>
      </c>
      <c r="BB17" s="40" t="str">
        <f t="shared" si="3"/>
        <v/>
      </c>
      <c r="BC17" s="40" t="str">
        <f t="shared" si="4"/>
        <v/>
      </c>
      <c r="BD17" s="40" t="str">
        <f t="shared" si="4"/>
        <v/>
      </c>
      <c r="BE17" s="40" t="str">
        <f t="shared" si="4"/>
        <v/>
      </c>
      <c r="BF17" s="40" t="str">
        <f t="shared" si="4"/>
        <v/>
      </c>
    </row>
    <row r="18" spans="1:58">
      <c r="A18" s="43"/>
      <c r="B18" s="36" t="str" cm="1">
        <f t="array" ref="B18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C18" s="37" t="str" cm="1">
        <f t="array" ref="C18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D18" s="36" t="str" cm="1">
        <f t="array" ref="D18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E18" s="38" t="str" cm="1">
        <f t="array" ref="E18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18" s="39" t="str" cm="1">
        <f t="array" ref="F18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18" s="40" t="str">
        <f t="shared" si="0"/>
        <v/>
      </c>
      <c r="H18" s="40" t="str">
        <f t="shared" si="0"/>
        <v/>
      </c>
      <c r="I18" s="40" t="str">
        <f t="shared" si="0"/>
        <v/>
      </c>
      <c r="J18" s="40" t="str">
        <f t="shared" si="0"/>
        <v/>
      </c>
      <c r="K18" s="40" t="str">
        <f t="shared" si="0"/>
        <v/>
      </c>
      <c r="L18" s="40" t="str">
        <f t="shared" si="0"/>
        <v/>
      </c>
      <c r="M18" s="40" t="str">
        <f t="shared" si="0"/>
        <v/>
      </c>
      <c r="N18" s="40" t="str">
        <f t="shared" si="0"/>
        <v/>
      </c>
      <c r="O18" s="40" t="str">
        <f t="shared" si="0"/>
        <v/>
      </c>
      <c r="P18" s="41" t="str">
        <f t="shared" si="0"/>
        <v/>
      </c>
      <c r="Q18" s="41" t="str">
        <f t="shared" si="0"/>
        <v/>
      </c>
      <c r="R18" s="42" t="str">
        <f t="shared" si="0"/>
        <v/>
      </c>
      <c r="S18" s="40" t="str">
        <f t="shared" si="0"/>
        <v/>
      </c>
      <c r="T18" s="40" t="str">
        <f t="shared" si="0"/>
        <v/>
      </c>
      <c r="U18" s="40" t="str">
        <f t="shared" si="0"/>
        <v/>
      </c>
      <c r="V18" s="40" t="str">
        <f t="shared" si="0"/>
        <v/>
      </c>
      <c r="W18" s="40" t="str">
        <f t="shared" si="2"/>
        <v/>
      </c>
      <c r="X18" s="40" t="str">
        <f t="shared" si="2"/>
        <v/>
      </c>
      <c r="Y18" s="40" t="str">
        <f t="shared" si="2"/>
        <v/>
      </c>
      <c r="Z18" s="40" t="str">
        <f t="shared" si="2"/>
        <v/>
      </c>
      <c r="AA18" s="40" t="str">
        <f t="shared" si="2"/>
        <v/>
      </c>
      <c r="AB18" s="40" t="str">
        <f t="shared" si="2"/>
        <v/>
      </c>
      <c r="AC18" s="40" t="str">
        <f t="shared" si="2"/>
        <v/>
      </c>
      <c r="AD18" s="40" t="str">
        <f t="shared" si="2"/>
        <v/>
      </c>
      <c r="AE18" s="40" t="str">
        <f t="shared" si="2"/>
        <v/>
      </c>
      <c r="AF18" s="40" t="str">
        <f t="shared" si="2"/>
        <v/>
      </c>
      <c r="AG18" s="40" t="str">
        <f t="shared" si="2"/>
        <v/>
      </c>
      <c r="AH18" s="40" t="str">
        <f t="shared" si="2"/>
        <v/>
      </c>
      <c r="AI18" s="40" t="str">
        <f t="shared" si="2"/>
        <v/>
      </c>
      <c r="AJ18" s="40" t="str">
        <f t="shared" si="2"/>
        <v/>
      </c>
      <c r="AK18" s="40" t="str">
        <f t="shared" si="2"/>
        <v/>
      </c>
      <c r="AL18" s="40" t="str">
        <f t="shared" si="2"/>
        <v/>
      </c>
      <c r="AM18" s="40" t="str">
        <f t="shared" si="3"/>
        <v/>
      </c>
      <c r="AN18" s="40" t="str">
        <f t="shared" si="3"/>
        <v/>
      </c>
      <c r="AO18" s="40" t="str">
        <f t="shared" si="3"/>
        <v/>
      </c>
      <c r="AP18" s="40" t="str">
        <f t="shared" si="3"/>
        <v/>
      </c>
      <c r="AQ18" s="40" t="str">
        <f t="shared" si="3"/>
        <v/>
      </c>
      <c r="AR18" s="40" t="str">
        <f t="shared" si="3"/>
        <v/>
      </c>
      <c r="AS18" s="40" t="str">
        <f t="shared" si="3"/>
        <v/>
      </c>
      <c r="AT18" s="40" t="str">
        <f t="shared" si="3"/>
        <v/>
      </c>
      <c r="AU18" s="40" t="str">
        <f t="shared" si="3"/>
        <v/>
      </c>
      <c r="AV18" s="40" t="str">
        <f t="shared" si="3"/>
        <v/>
      </c>
      <c r="AW18" s="40" t="str">
        <f t="shared" si="3"/>
        <v/>
      </c>
      <c r="AX18" s="40" t="str">
        <f t="shared" si="3"/>
        <v/>
      </c>
      <c r="AY18" s="40" t="str">
        <f t="shared" si="3"/>
        <v/>
      </c>
      <c r="AZ18" s="40" t="str">
        <f t="shared" si="3"/>
        <v/>
      </c>
      <c r="BA18" s="40" t="str">
        <f t="shared" si="3"/>
        <v/>
      </c>
      <c r="BB18" s="40" t="str">
        <f t="shared" si="3"/>
        <v/>
      </c>
      <c r="BC18" s="40" t="str">
        <f t="shared" si="4"/>
        <v/>
      </c>
      <c r="BD18" s="40" t="str">
        <f t="shared" si="4"/>
        <v/>
      </c>
      <c r="BE18" s="40" t="str">
        <f t="shared" si="4"/>
        <v/>
      </c>
      <c r="BF18" s="40" t="str">
        <f t="shared" si="4"/>
        <v/>
      </c>
    </row>
    <row r="19" spans="1:58">
      <c r="A19" s="35"/>
      <c r="B19" s="36" t="str" cm="1">
        <f t="array" ref="B19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C19" s="37" t="str" cm="1">
        <f t="array" ref="C19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D19" s="36" t="str" cm="1">
        <f t="array" ref="D19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E19" s="38" t="str" cm="1">
        <f t="array" ref="E19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19" s="39" t="str" cm="1">
        <f t="array" ref="F19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19" s="40" t="str">
        <f t="shared" si="0"/>
        <v/>
      </c>
      <c r="H19" s="40" t="str">
        <f t="shared" si="0"/>
        <v/>
      </c>
      <c r="I19" s="40" t="str">
        <f t="shared" si="0"/>
        <v/>
      </c>
      <c r="J19" s="40" t="str">
        <f t="shared" si="0"/>
        <v/>
      </c>
      <c r="K19" s="40" t="str">
        <f t="shared" si="0"/>
        <v/>
      </c>
      <c r="L19" s="40" t="str">
        <f t="shared" si="0"/>
        <v/>
      </c>
      <c r="M19" s="40" t="str">
        <f t="shared" si="0"/>
        <v/>
      </c>
      <c r="N19" s="40" t="str">
        <f t="shared" si="0"/>
        <v/>
      </c>
      <c r="O19" s="40" t="str">
        <f t="shared" si="0"/>
        <v/>
      </c>
      <c r="P19" s="41" t="str">
        <f t="shared" si="0"/>
        <v/>
      </c>
      <c r="Q19" s="41" t="str">
        <f t="shared" si="0"/>
        <v/>
      </c>
      <c r="R19" s="42" t="str">
        <f t="shared" si="0"/>
        <v/>
      </c>
      <c r="S19" s="40" t="str">
        <f t="shared" si="0"/>
        <v/>
      </c>
      <c r="T19" s="40" t="str">
        <f t="shared" si="0"/>
        <v/>
      </c>
      <c r="U19" s="40" t="str">
        <f t="shared" si="0"/>
        <v/>
      </c>
      <c r="V19" s="40" t="str">
        <f t="shared" si="0"/>
        <v/>
      </c>
      <c r="W19" s="40" t="str">
        <f t="shared" si="2"/>
        <v/>
      </c>
      <c r="X19" s="40" t="str">
        <f t="shared" si="2"/>
        <v/>
      </c>
      <c r="Y19" s="40" t="str">
        <f t="shared" si="2"/>
        <v/>
      </c>
      <c r="Z19" s="40" t="str">
        <f t="shared" si="2"/>
        <v/>
      </c>
      <c r="AA19" s="40" t="str">
        <f t="shared" si="2"/>
        <v/>
      </c>
      <c r="AB19" s="40" t="str">
        <f t="shared" si="2"/>
        <v/>
      </c>
      <c r="AC19" s="40" t="str">
        <f t="shared" si="2"/>
        <v/>
      </c>
      <c r="AD19" s="40" t="str">
        <f t="shared" si="2"/>
        <v/>
      </c>
      <c r="AE19" s="40" t="str">
        <f t="shared" si="2"/>
        <v/>
      </c>
      <c r="AF19" s="40" t="str">
        <f t="shared" si="2"/>
        <v/>
      </c>
      <c r="AG19" s="40" t="str">
        <f t="shared" si="2"/>
        <v/>
      </c>
      <c r="AH19" s="40" t="str">
        <f t="shared" si="2"/>
        <v/>
      </c>
      <c r="AI19" s="40" t="str">
        <f t="shared" si="2"/>
        <v/>
      </c>
      <c r="AJ19" s="40" t="str">
        <f t="shared" si="2"/>
        <v/>
      </c>
      <c r="AK19" s="40" t="str">
        <f t="shared" si="2"/>
        <v/>
      </c>
      <c r="AL19" s="40" t="str">
        <f t="shared" si="2"/>
        <v/>
      </c>
      <c r="AM19" s="40" t="str">
        <f t="shared" si="3"/>
        <v/>
      </c>
      <c r="AN19" s="40" t="str">
        <f t="shared" si="3"/>
        <v/>
      </c>
      <c r="AO19" s="40" t="str">
        <f t="shared" si="3"/>
        <v/>
      </c>
      <c r="AP19" s="40" t="str">
        <f t="shared" si="3"/>
        <v/>
      </c>
      <c r="AQ19" s="40" t="str">
        <f t="shared" si="3"/>
        <v/>
      </c>
      <c r="AR19" s="40" t="str">
        <f t="shared" si="3"/>
        <v/>
      </c>
      <c r="AS19" s="40" t="str">
        <f t="shared" si="3"/>
        <v/>
      </c>
      <c r="AT19" s="40" t="str">
        <f t="shared" si="3"/>
        <v/>
      </c>
      <c r="AU19" s="40" t="str">
        <f t="shared" si="3"/>
        <v/>
      </c>
      <c r="AV19" s="40" t="str">
        <f t="shared" si="3"/>
        <v/>
      </c>
      <c r="AW19" s="40" t="str">
        <f t="shared" si="3"/>
        <v/>
      </c>
      <c r="AX19" s="40" t="str">
        <f t="shared" si="3"/>
        <v/>
      </c>
      <c r="AY19" s="40" t="str">
        <f t="shared" si="3"/>
        <v/>
      </c>
      <c r="AZ19" s="40" t="str">
        <f t="shared" si="3"/>
        <v/>
      </c>
      <c r="BA19" s="40" t="str">
        <f t="shared" si="3"/>
        <v/>
      </c>
      <c r="BB19" s="40" t="str">
        <f t="shared" si="3"/>
        <v/>
      </c>
      <c r="BC19" s="40" t="str">
        <f t="shared" si="4"/>
        <v/>
      </c>
      <c r="BD19" s="40" t="str">
        <f t="shared" si="4"/>
        <v/>
      </c>
      <c r="BE19" s="40" t="str">
        <f t="shared" si="4"/>
        <v/>
      </c>
      <c r="BF19" s="40" t="str">
        <f t="shared" si="4"/>
        <v/>
      </c>
    </row>
    <row r="20" spans="1:58">
      <c r="A20" s="43"/>
      <c r="B20" s="36" t="str" cm="1">
        <f t="array" ref="B20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C20" s="37" t="str" cm="1">
        <f t="array" ref="C20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D20" s="36" t="str" cm="1">
        <f t="array" ref="D20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E20" s="38" t="str" cm="1">
        <f t="array" ref="E20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20" s="39" t="str" cm="1">
        <f t="array" ref="F20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20" s="40" t="str">
        <f t="shared" si="0"/>
        <v/>
      </c>
      <c r="H20" s="40" t="str">
        <f t="shared" si="0"/>
        <v/>
      </c>
      <c r="I20" s="40" t="str">
        <f t="shared" si="0"/>
        <v/>
      </c>
      <c r="J20" s="40" t="str">
        <f t="shared" si="0"/>
        <v/>
      </c>
      <c r="K20" s="40" t="str">
        <f t="shared" si="0"/>
        <v/>
      </c>
      <c r="L20" s="40" t="str">
        <f t="shared" si="0"/>
        <v/>
      </c>
      <c r="M20" s="40" t="str">
        <f t="shared" si="0"/>
        <v/>
      </c>
      <c r="N20" s="40" t="str">
        <f t="shared" si="0"/>
        <v/>
      </c>
      <c r="O20" s="40" t="str">
        <f t="shared" si="0"/>
        <v/>
      </c>
      <c r="P20" s="41" t="str">
        <f t="shared" si="0"/>
        <v/>
      </c>
      <c r="Q20" s="41" t="str">
        <f t="shared" si="0"/>
        <v/>
      </c>
      <c r="R20" s="42" t="str">
        <f t="shared" si="0"/>
        <v/>
      </c>
      <c r="S20" s="40" t="str">
        <f t="shared" si="0"/>
        <v/>
      </c>
      <c r="T20" s="40" t="str">
        <f t="shared" si="0"/>
        <v/>
      </c>
      <c r="U20" s="40" t="str">
        <f t="shared" si="0"/>
        <v/>
      </c>
      <c r="V20" s="40" t="str">
        <f t="shared" si="0"/>
        <v/>
      </c>
      <c r="W20" s="40" t="str">
        <f t="shared" si="2"/>
        <v/>
      </c>
      <c r="X20" s="40" t="str">
        <f t="shared" si="2"/>
        <v/>
      </c>
      <c r="Y20" s="40" t="str">
        <f t="shared" si="2"/>
        <v/>
      </c>
      <c r="Z20" s="40" t="str">
        <f t="shared" si="2"/>
        <v/>
      </c>
      <c r="AA20" s="40" t="str">
        <f t="shared" si="2"/>
        <v/>
      </c>
      <c r="AB20" s="40" t="str">
        <f t="shared" si="2"/>
        <v/>
      </c>
      <c r="AC20" s="40" t="str">
        <f t="shared" si="2"/>
        <v/>
      </c>
      <c r="AD20" s="40" t="str">
        <f t="shared" si="2"/>
        <v/>
      </c>
      <c r="AE20" s="40" t="str">
        <f t="shared" si="2"/>
        <v/>
      </c>
      <c r="AF20" s="40" t="str">
        <f t="shared" si="2"/>
        <v/>
      </c>
      <c r="AG20" s="40" t="str">
        <f t="shared" si="2"/>
        <v/>
      </c>
      <c r="AH20" s="40" t="str">
        <f t="shared" si="2"/>
        <v/>
      </c>
      <c r="AI20" s="40" t="str">
        <f t="shared" si="2"/>
        <v/>
      </c>
      <c r="AJ20" s="40" t="str">
        <f t="shared" si="2"/>
        <v/>
      </c>
      <c r="AK20" s="40" t="str">
        <f t="shared" si="2"/>
        <v/>
      </c>
      <c r="AL20" s="40" t="str">
        <f t="shared" si="2"/>
        <v/>
      </c>
      <c r="AM20" s="40" t="str">
        <f t="shared" si="3"/>
        <v/>
      </c>
      <c r="AN20" s="40" t="str">
        <f t="shared" si="3"/>
        <v/>
      </c>
      <c r="AO20" s="40" t="str">
        <f t="shared" si="3"/>
        <v/>
      </c>
      <c r="AP20" s="40" t="str">
        <f t="shared" si="3"/>
        <v/>
      </c>
      <c r="AQ20" s="40" t="str">
        <f t="shared" si="3"/>
        <v/>
      </c>
      <c r="AR20" s="40" t="str">
        <f t="shared" si="3"/>
        <v/>
      </c>
      <c r="AS20" s="40" t="str">
        <f t="shared" si="3"/>
        <v/>
      </c>
      <c r="AT20" s="40" t="str">
        <f t="shared" si="3"/>
        <v/>
      </c>
      <c r="AU20" s="40" t="str">
        <f t="shared" si="3"/>
        <v/>
      </c>
      <c r="AV20" s="40" t="str">
        <f t="shared" si="3"/>
        <v/>
      </c>
      <c r="AW20" s="40" t="str">
        <f t="shared" si="3"/>
        <v/>
      </c>
      <c r="AX20" s="40" t="str">
        <f t="shared" si="3"/>
        <v/>
      </c>
      <c r="AY20" s="40" t="str">
        <f t="shared" si="3"/>
        <v/>
      </c>
      <c r="AZ20" s="40" t="str">
        <f t="shared" si="3"/>
        <v/>
      </c>
      <c r="BA20" s="40" t="str">
        <f t="shared" si="3"/>
        <v/>
      </c>
      <c r="BB20" s="40" t="str">
        <f t="shared" si="3"/>
        <v/>
      </c>
      <c r="BC20" s="40" t="str">
        <f t="shared" si="4"/>
        <v/>
      </c>
      <c r="BD20" s="40" t="str">
        <f t="shared" si="4"/>
        <v/>
      </c>
      <c r="BE20" s="40" t="str">
        <f t="shared" si="4"/>
        <v/>
      </c>
      <c r="BF20" s="40" t="str">
        <f t="shared" si="4"/>
        <v/>
      </c>
    </row>
    <row r="21" spans="1:58">
      <c r="A21" s="35"/>
      <c r="B21" s="36" t="str" cm="1">
        <f t="array" ref="B21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C21" s="37" t="str" cm="1">
        <f t="array" ref="C21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D21" s="36" t="str" cm="1">
        <f t="array" ref="D21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E21" s="38" t="str" cm="1">
        <f t="array" ref="E21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21" s="39" t="str" cm="1">
        <f t="array" ref="F21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21" s="40" t="str">
        <f t="shared" si="0"/>
        <v/>
      </c>
      <c r="H21" s="40" t="str">
        <f t="shared" si="0"/>
        <v/>
      </c>
      <c r="I21" s="40" t="str">
        <f t="shared" si="0"/>
        <v/>
      </c>
      <c r="J21" s="40" t="str">
        <f t="shared" si="0"/>
        <v/>
      </c>
      <c r="K21" s="40" t="str">
        <f t="shared" si="0"/>
        <v/>
      </c>
      <c r="L21" s="40" t="str">
        <f t="shared" si="0"/>
        <v/>
      </c>
      <c r="M21" s="40" t="str">
        <f t="shared" si="0"/>
        <v/>
      </c>
      <c r="N21" s="40" t="str">
        <f t="shared" si="0"/>
        <v/>
      </c>
      <c r="O21" s="40" t="str">
        <f t="shared" si="0"/>
        <v/>
      </c>
      <c r="P21" s="41" t="str">
        <f t="shared" si="0"/>
        <v/>
      </c>
      <c r="Q21" s="41" t="str">
        <f t="shared" si="0"/>
        <v/>
      </c>
      <c r="R21" s="42" t="str">
        <f t="shared" si="0"/>
        <v/>
      </c>
      <c r="S21" s="40" t="str">
        <f t="shared" si="0"/>
        <v/>
      </c>
      <c r="T21" s="40" t="str">
        <f t="shared" si="0"/>
        <v/>
      </c>
      <c r="U21" s="40" t="str">
        <f t="shared" si="0"/>
        <v/>
      </c>
      <c r="V21" s="40" t="str">
        <f t="shared" si="0"/>
        <v/>
      </c>
      <c r="W21" s="40" t="str">
        <f t="shared" si="2"/>
        <v/>
      </c>
      <c r="X21" s="40" t="str">
        <f t="shared" si="2"/>
        <v/>
      </c>
      <c r="Y21" s="40" t="str">
        <f t="shared" si="2"/>
        <v/>
      </c>
      <c r="Z21" s="40" t="str">
        <f t="shared" si="2"/>
        <v/>
      </c>
      <c r="AA21" s="40" t="str">
        <f t="shared" si="2"/>
        <v/>
      </c>
      <c r="AB21" s="40" t="str">
        <f t="shared" si="2"/>
        <v/>
      </c>
      <c r="AC21" s="40" t="str">
        <f t="shared" si="2"/>
        <v/>
      </c>
      <c r="AD21" s="40" t="str">
        <f t="shared" si="2"/>
        <v/>
      </c>
      <c r="AE21" s="40" t="str">
        <f t="shared" si="2"/>
        <v/>
      </c>
      <c r="AF21" s="40" t="str">
        <f t="shared" si="2"/>
        <v/>
      </c>
      <c r="AG21" s="40" t="str">
        <f t="shared" si="2"/>
        <v/>
      </c>
      <c r="AH21" s="40" t="str">
        <f t="shared" si="2"/>
        <v/>
      </c>
      <c r="AI21" s="40" t="str">
        <f t="shared" si="2"/>
        <v/>
      </c>
      <c r="AJ21" s="40" t="str">
        <f t="shared" si="2"/>
        <v/>
      </c>
      <c r="AK21" s="40" t="str">
        <f t="shared" si="2"/>
        <v/>
      </c>
      <c r="AL21" s="40" t="str">
        <f t="shared" si="2"/>
        <v/>
      </c>
      <c r="AM21" s="40" t="str">
        <f t="shared" si="3"/>
        <v/>
      </c>
      <c r="AN21" s="40" t="str">
        <f t="shared" si="3"/>
        <v/>
      </c>
      <c r="AO21" s="40" t="str">
        <f t="shared" si="3"/>
        <v/>
      </c>
      <c r="AP21" s="40" t="str">
        <f t="shared" si="3"/>
        <v/>
      </c>
      <c r="AQ21" s="40" t="str">
        <f t="shared" si="3"/>
        <v/>
      </c>
      <c r="AR21" s="40" t="str">
        <f t="shared" si="3"/>
        <v/>
      </c>
      <c r="AS21" s="40" t="str">
        <f t="shared" si="3"/>
        <v/>
      </c>
      <c r="AT21" s="40" t="str">
        <f t="shared" si="3"/>
        <v/>
      </c>
      <c r="AU21" s="40" t="str">
        <f t="shared" si="3"/>
        <v/>
      </c>
      <c r="AV21" s="40" t="str">
        <f t="shared" si="3"/>
        <v/>
      </c>
      <c r="AW21" s="40" t="str">
        <f t="shared" si="3"/>
        <v/>
      </c>
      <c r="AX21" s="40" t="str">
        <f t="shared" si="3"/>
        <v/>
      </c>
      <c r="AY21" s="40" t="str">
        <f t="shared" si="3"/>
        <v/>
      </c>
      <c r="AZ21" s="40" t="str">
        <f t="shared" si="3"/>
        <v/>
      </c>
      <c r="BA21" s="40" t="str">
        <f t="shared" si="3"/>
        <v/>
      </c>
      <c r="BB21" s="40" t="str">
        <f t="shared" si="3"/>
        <v/>
      </c>
      <c r="BC21" s="40" t="str">
        <f t="shared" si="4"/>
        <v/>
      </c>
      <c r="BD21" s="40" t="str">
        <f t="shared" si="4"/>
        <v/>
      </c>
      <c r="BE21" s="40" t="str">
        <f t="shared" si="4"/>
        <v/>
      </c>
      <c r="BF21" s="40" t="str">
        <f t="shared" si="4"/>
        <v/>
      </c>
    </row>
    <row r="22" spans="1:58">
      <c r="A22" s="43"/>
      <c r="B22" s="36" t="str" cm="1">
        <f t="array" ref="B22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C22" s="37" t="str" cm="1">
        <f t="array" ref="C22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D22" s="36" t="str" cm="1">
        <f t="array" ref="D22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E22" s="38" t="str" cm="1">
        <f t="array" ref="E22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22" s="39" t="str" cm="1">
        <f t="array" ref="F22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22" s="40" t="str">
        <f t="shared" si="0"/>
        <v/>
      </c>
      <c r="H22" s="40" t="str">
        <f t="shared" si="0"/>
        <v/>
      </c>
      <c r="I22" s="40" t="str">
        <f t="shared" si="0"/>
        <v/>
      </c>
      <c r="J22" s="40" t="str">
        <f t="shared" si="0"/>
        <v/>
      </c>
      <c r="K22" s="40" t="str">
        <f t="shared" si="0"/>
        <v/>
      </c>
      <c r="L22" s="40" t="str">
        <f t="shared" si="0"/>
        <v/>
      </c>
      <c r="M22" s="40" t="str">
        <f t="shared" si="0"/>
        <v/>
      </c>
      <c r="N22" s="40" t="str">
        <f t="shared" si="0"/>
        <v/>
      </c>
      <c r="O22" s="40" t="str">
        <f t="shared" si="0"/>
        <v/>
      </c>
      <c r="P22" s="41" t="str">
        <f t="shared" si="0"/>
        <v/>
      </c>
      <c r="Q22" s="41" t="str">
        <f t="shared" si="0"/>
        <v/>
      </c>
      <c r="R22" s="42" t="str">
        <f t="shared" si="0"/>
        <v/>
      </c>
      <c r="S22" s="40" t="str">
        <f t="shared" si="0"/>
        <v/>
      </c>
      <c r="T22" s="40" t="str">
        <f t="shared" si="0"/>
        <v/>
      </c>
      <c r="U22" s="40" t="str">
        <f t="shared" si="0"/>
        <v/>
      </c>
      <c r="V22" s="40" t="str">
        <f t="shared" si="0"/>
        <v/>
      </c>
      <c r="W22" s="40" t="str">
        <f t="shared" si="2"/>
        <v/>
      </c>
      <c r="X22" s="40" t="str">
        <f t="shared" si="2"/>
        <v/>
      </c>
      <c r="Y22" s="40" t="str">
        <f t="shared" si="2"/>
        <v/>
      </c>
      <c r="Z22" s="40" t="str">
        <f t="shared" si="2"/>
        <v/>
      </c>
      <c r="AA22" s="40" t="str">
        <f t="shared" si="2"/>
        <v/>
      </c>
      <c r="AB22" s="40" t="str">
        <f t="shared" si="2"/>
        <v/>
      </c>
      <c r="AC22" s="40" t="str">
        <f t="shared" si="2"/>
        <v/>
      </c>
      <c r="AD22" s="40" t="str">
        <f t="shared" si="2"/>
        <v/>
      </c>
      <c r="AE22" s="40" t="str">
        <f t="shared" si="2"/>
        <v/>
      </c>
      <c r="AF22" s="40" t="str">
        <f t="shared" si="2"/>
        <v/>
      </c>
      <c r="AG22" s="40" t="str">
        <f t="shared" si="2"/>
        <v/>
      </c>
      <c r="AH22" s="40" t="str">
        <f t="shared" si="2"/>
        <v/>
      </c>
      <c r="AI22" s="40" t="str">
        <f t="shared" si="2"/>
        <v/>
      </c>
      <c r="AJ22" s="40" t="str">
        <f t="shared" si="2"/>
        <v/>
      </c>
      <c r="AK22" s="40" t="str">
        <f t="shared" si="2"/>
        <v/>
      </c>
      <c r="AL22" s="40" t="str">
        <f t="shared" si="2"/>
        <v/>
      </c>
      <c r="AM22" s="40" t="str">
        <f t="shared" si="3"/>
        <v/>
      </c>
      <c r="AN22" s="40" t="str">
        <f t="shared" si="3"/>
        <v/>
      </c>
      <c r="AO22" s="40" t="str">
        <f t="shared" si="3"/>
        <v/>
      </c>
      <c r="AP22" s="40" t="str">
        <f t="shared" si="3"/>
        <v/>
      </c>
      <c r="AQ22" s="40" t="str">
        <f t="shared" si="3"/>
        <v/>
      </c>
      <c r="AR22" s="40" t="str">
        <f t="shared" si="3"/>
        <v/>
      </c>
      <c r="AS22" s="40" t="str">
        <f t="shared" si="3"/>
        <v/>
      </c>
      <c r="AT22" s="40" t="str">
        <f t="shared" si="3"/>
        <v/>
      </c>
      <c r="AU22" s="40" t="str">
        <f t="shared" si="3"/>
        <v/>
      </c>
      <c r="AV22" s="40" t="str">
        <f t="shared" si="3"/>
        <v/>
      </c>
      <c r="AW22" s="40" t="str">
        <f t="shared" si="3"/>
        <v/>
      </c>
      <c r="AX22" s="40" t="str">
        <f t="shared" si="3"/>
        <v/>
      </c>
      <c r="AY22" s="40" t="str">
        <f t="shared" si="3"/>
        <v/>
      </c>
      <c r="AZ22" s="40" t="str">
        <f t="shared" si="3"/>
        <v/>
      </c>
      <c r="BA22" s="40" t="str">
        <f t="shared" si="3"/>
        <v/>
      </c>
      <c r="BB22" s="40" t="str">
        <f t="shared" si="3"/>
        <v/>
      </c>
      <c r="BC22" s="40" t="str">
        <f t="shared" si="4"/>
        <v/>
      </c>
      <c r="BD22" s="40" t="str">
        <f t="shared" si="4"/>
        <v/>
      </c>
      <c r="BE22" s="40" t="str">
        <f t="shared" si="4"/>
        <v/>
      </c>
      <c r="BF22" s="40" t="str">
        <f t="shared" si="4"/>
        <v/>
      </c>
    </row>
    <row r="23" spans="1:58">
      <c r="A23" s="35"/>
      <c r="B23" s="36" t="str" cm="1">
        <f t="array" ref="B23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C23" s="37" t="str" cm="1">
        <f t="array" ref="C23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D23" s="36" t="str" cm="1">
        <f t="array" ref="D23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E23" s="38" t="str" cm="1">
        <f t="array" ref="E23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23" s="39" t="str" cm="1">
        <f t="array" ref="F23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23" s="40" t="str">
        <f t="shared" si="0"/>
        <v/>
      </c>
      <c r="H23" s="40" t="str">
        <f t="shared" si="0"/>
        <v/>
      </c>
      <c r="I23" s="40" t="str">
        <f t="shared" si="0"/>
        <v/>
      </c>
      <c r="J23" s="40" t="str">
        <f t="shared" si="0"/>
        <v/>
      </c>
      <c r="K23" s="40" t="str">
        <f t="shared" si="0"/>
        <v/>
      </c>
      <c r="L23" s="40" t="str">
        <f t="shared" si="0"/>
        <v/>
      </c>
      <c r="M23" s="40" t="str">
        <f t="shared" si="0"/>
        <v/>
      </c>
      <c r="N23" s="40" t="str">
        <f t="shared" si="0"/>
        <v/>
      </c>
      <c r="O23" s="40" t="str">
        <f t="shared" si="0"/>
        <v/>
      </c>
      <c r="P23" s="41" t="str">
        <f t="shared" si="0"/>
        <v/>
      </c>
      <c r="Q23" s="41" t="str">
        <f t="shared" si="0"/>
        <v/>
      </c>
      <c r="R23" s="42" t="str">
        <f t="shared" si="0"/>
        <v/>
      </c>
      <c r="S23" s="40" t="str">
        <f t="shared" si="0"/>
        <v/>
      </c>
      <c r="T23" s="40" t="str">
        <f t="shared" si="0"/>
        <v/>
      </c>
      <c r="U23" s="40" t="str">
        <f t="shared" si="0"/>
        <v/>
      </c>
      <c r="V23" s="40" t="str">
        <f t="shared" si="0"/>
        <v/>
      </c>
      <c r="W23" s="40" t="str">
        <f t="shared" si="2"/>
        <v/>
      </c>
      <c r="X23" s="40" t="str">
        <f t="shared" si="2"/>
        <v/>
      </c>
      <c r="Y23" s="40" t="str">
        <f t="shared" si="2"/>
        <v/>
      </c>
      <c r="Z23" s="40" t="str">
        <f t="shared" si="2"/>
        <v/>
      </c>
      <c r="AA23" s="40" t="str">
        <f t="shared" si="2"/>
        <v/>
      </c>
      <c r="AB23" s="40" t="str">
        <f t="shared" si="2"/>
        <v/>
      </c>
      <c r="AC23" s="40" t="str">
        <f t="shared" si="2"/>
        <v/>
      </c>
      <c r="AD23" s="40" t="str">
        <f t="shared" si="2"/>
        <v/>
      </c>
      <c r="AE23" s="40" t="str">
        <f t="shared" si="2"/>
        <v/>
      </c>
      <c r="AF23" s="40" t="str">
        <f t="shared" si="2"/>
        <v/>
      </c>
      <c r="AG23" s="40" t="str">
        <f t="shared" si="2"/>
        <v/>
      </c>
      <c r="AH23" s="40" t="str">
        <f t="shared" si="2"/>
        <v/>
      </c>
      <c r="AI23" s="40" t="str">
        <f t="shared" si="2"/>
        <v/>
      </c>
      <c r="AJ23" s="40" t="str">
        <f t="shared" si="2"/>
        <v/>
      </c>
      <c r="AK23" s="40" t="str">
        <f t="shared" si="2"/>
        <v/>
      </c>
      <c r="AL23" s="40" t="str">
        <f t="shared" si="2"/>
        <v/>
      </c>
      <c r="AM23" s="40" t="str">
        <f t="shared" si="3"/>
        <v/>
      </c>
      <c r="AN23" s="40" t="str">
        <f t="shared" si="3"/>
        <v/>
      </c>
      <c r="AO23" s="40" t="str">
        <f t="shared" si="3"/>
        <v/>
      </c>
      <c r="AP23" s="40" t="str">
        <f t="shared" si="3"/>
        <v/>
      </c>
      <c r="AQ23" s="40" t="str">
        <f t="shared" si="3"/>
        <v/>
      </c>
      <c r="AR23" s="40" t="str">
        <f t="shared" si="3"/>
        <v/>
      </c>
      <c r="AS23" s="40" t="str">
        <f t="shared" si="3"/>
        <v/>
      </c>
      <c r="AT23" s="40" t="str">
        <f t="shared" si="3"/>
        <v/>
      </c>
      <c r="AU23" s="40" t="str">
        <f t="shared" si="3"/>
        <v/>
      </c>
      <c r="AV23" s="40" t="str">
        <f t="shared" si="3"/>
        <v/>
      </c>
      <c r="AW23" s="40" t="str">
        <f t="shared" si="3"/>
        <v/>
      </c>
      <c r="AX23" s="40" t="str">
        <f t="shared" si="3"/>
        <v/>
      </c>
      <c r="AY23" s="40" t="str">
        <f t="shared" si="3"/>
        <v/>
      </c>
      <c r="AZ23" s="40" t="str">
        <f t="shared" si="3"/>
        <v/>
      </c>
      <c r="BA23" s="40" t="str">
        <f t="shared" si="3"/>
        <v/>
      </c>
      <c r="BB23" s="40" t="str">
        <f t="shared" si="3"/>
        <v/>
      </c>
      <c r="BC23" s="40" t="str">
        <f t="shared" si="4"/>
        <v/>
      </c>
      <c r="BD23" s="40" t="str">
        <f t="shared" si="4"/>
        <v/>
      </c>
      <c r="BE23" s="40" t="str">
        <f t="shared" si="4"/>
        <v/>
      </c>
      <c r="BF23" s="40" t="str">
        <f t="shared" si="4"/>
        <v/>
      </c>
    </row>
    <row r="24" spans="1:58">
      <c r="A24" s="43"/>
      <c r="B24" s="36" t="str" cm="1">
        <f t="array" ref="B24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C24" s="37" t="str" cm="1">
        <f t="array" ref="C24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D24" s="36" t="str" cm="1">
        <f t="array" ref="D24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E24" s="38" t="str" cm="1">
        <f t="array" ref="E24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24" s="39" t="str" cm="1">
        <f t="array" ref="F24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24" s="40" t="str">
        <f t="shared" si="0"/>
        <v/>
      </c>
      <c r="H24" s="40" t="str">
        <f t="shared" si="0"/>
        <v/>
      </c>
      <c r="I24" s="40" t="str">
        <f t="shared" si="0"/>
        <v/>
      </c>
      <c r="J24" s="40" t="str">
        <f t="shared" si="0"/>
        <v/>
      </c>
      <c r="K24" s="40" t="str">
        <f t="shared" si="0"/>
        <v/>
      </c>
      <c r="L24" s="40" t="str">
        <f t="shared" si="0"/>
        <v/>
      </c>
      <c r="M24" s="40" t="str">
        <f t="shared" si="0"/>
        <v/>
      </c>
      <c r="N24" s="40" t="str">
        <f t="shared" si="0"/>
        <v/>
      </c>
      <c r="O24" s="40" t="str">
        <f t="shared" si="0"/>
        <v/>
      </c>
      <c r="P24" s="41" t="str">
        <f t="shared" si="0"/>
        <v/>
      </c>
      <c r="Q24" s="41" t="str">
        <f t="shared" si="0"/>
        <v/>
      </c>
      <c r="R24" s="42" t="str">
        <f t="shared" ref="R24:AG33" si="5">IF(AND($E24&gt;0,$F24&gt;0,R$4+6&gt;=$E24,R$4&lt;=$F24),1,"")</f>
        <v/>
      </c>
      <c r="S24" s="40" t="str">
        <f t="shared" si="5"/>
        <v/>
      </c>
      <c r="T24" s="40" t="str">
        <f t="shared" si="5"/>
        <v/>
      </c>
      <c r="U24" s="40" t="str">
        <f t="shared" si="5"/>
        <v/>
      </c>
      <c r="V24" s="40" t="str">
        <f t="shared" si="5"/>
        <v/>
      </c>
      <c r="W24" s="40" t="str">
        <f t="shared" si="5"/>
        <v/>
      </c>
      <c r="X24" s="40" t="str">
        <f t="shared" si="5"/>
        <v/>
      </c>
      <c r="Y24" s="40" t="str">
        <f t="shared" si="5"/>
        <v/>
      </c>
      <c r="Z24" s="40" t="str">
        <f t="shared" si="5"/>
        <v/>
      </c>
      <c r="AA24" s="40" t="str">
        <f t="shared" si="5"/>
        <v/>
      </c>
      <c r="AB24" s="40" t="str">
        <f t="shared" si="5"/>
        <v/>
      </c>
      <c r="AC24" s="40" t="str">
        <f t="shared" si="5"/>
        <v/>
      </c>
      <c r="AD24" s="40" t="str">
        <f t="shared" si="5"/>
        <v/>
      </c>
      <c r="AE24" s="40" t="str">
        <f t="shared" si="5"/>
        <v/>
      </c>
      <c r="AF24" s="40" t="str">
        <f t="shared" si="5"/>
        <v/>
      </c>
      <c r="AG24" s="40" t="str">
        <f t="shared" si="5"/>
        <v/>
      </c>
      <c r="AH24" s="40" t="str">
        <f t="shared" si="2"/>
        <v/>
      </c>
      <c r="AI24" s="40" t="str">
        <f t="shared" si="2"/>
        <v/>
      </c>
      <c r="AJ24" s="40" t="str">
        <f t="shared" si="2"/>
        <v/>
      </c>
      <c r="AK24" s="40" t="str">
        <f t="shared" si="2"/>
        <v/>
      </c>
      <c r="AL24" s="40" t="str">
        <f t="shared" si="2"/>
        <v/>
      </c>
      <c r="AM24" s="40" t="str">
        <f t="shared" si="3"/>
        <v/>
      </c>
      <c r="AN24" s="40" t="str">
        <f t="shared" si="3"/>
        <v/>
      </c>
      <c r="AO24" s="40" t="str">
        <f t="shared" si="3"/>
        <v/>
      </c>
      <c r="AP24" s="40" t="str">
        <f t="shared" si="3"/>
        <v/>
      </c>
      <c r="AQ24" s="40" t="str">
        <f t="shared" si="3"/>
        <v/>
      </c>
      <c r="AR24" s="40" t="str">
        <f t="shared" si="3"/>
        <v/>
      </c>
      <c r="AS24" s="40" t="str">
        <f t="shared" si="3"/>
        <v/>
      </c>
      <c r="AT24" s="40" t="str">
        <f t="shared" si="3"/>
        <v/>
      </c>
      <c r="AU24" s="40" t="str">
        <f t="shared" si="3"/>
        <v/>
      </c>
      <c r="AV24" s="40" t="str">
        <f t="shared" si="3"/>
        <v/>
      </c>
      <c r="AW24" s="40" t="str">
        <f t="shared" si="3"/>
        <v/>
      </c>
      <c r="AX24" s="40" t="str">
        <f t="shared" si="3"/>
        <v/>
      </c>
      <c r="AY24" s="40" t="str">
        <f t="shared" si="3"/>
        <v/>
      </c>
      <c r="AZ24" s="40" t="str">
        <f t="shared" si="3"/>
        <v/>
      </c>
      <c r="BA24" s="40" t="str">
        <f t="shared" si="3"/>
        <v/>
      </c>
      <c r="BB24" s="40" t="str">
        <f t="shared" ref="BB24:BF33" si="6">IF(AND($E24&gt;0,$F24&gt;0,BB$4+6&gt;=$E24,BB$4&lt;=$F24),1,"")</f>
        <v/>
      </c>
      <c r="BC24" s="40" t="str">
        <f t="shared" si="6"/>
        <v/>
      </c>
      <c r="BD24" s="40" t="str">
        <f t="shared" si="6"/>
        <v/>
      </c>
      <c r="BE24" s="40" t="str">
        <f t="shared" si="6"/>
        <v/>
      </c>
      <c r="BF24" s="40" t="str">
        <f t="shared" si="6"/>
        <v/>
      </c>
    </row>
    <row r="25" spans="1:58">
      <c r="A25" s="35"/>
      <c r="B25" s="36" t="str" cm="1">
        <f t="array" ref="B25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C25" s="37" t="str" cm="1">
        <f t="array" ref="C25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D25" s="36" t="str" cm="1">
        <f t="array" ref="D25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E25" s="38" t="str" cm="1">
        <f t="array" ref="E25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25" s="39" t="str" cm="1">
        <f t="array" ref="F25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25" s="40" t="str">
        <f t="shared" ref="G25:V33" si="7">IF(AND($E25&gt;0,$F25&gt;0,G$4+6&gt;=$E25,G$4&lt;=$F25),1,"")</f>
        <v/>
      </c>
      <c r="H25" s="40" t="str">
        <f t="shared" si="7"/>
        <v/>
      </c>
      <c r="I25" s="40" t="str">
        <f t="shared" si="7"/>
        <v/>
      </c>
      <c r="J25" s="40" t="str">
        <f t="shared" si="7"/>
        <v/>
      </c>
      <c r="K25" s="40" t="str">
        <f t="shared" si="7"/>
        <v/>
      </c>
      <c r="L25" s="40" t="str">
        <f t="shared" si="7"/>
        <v/>
      </c>
      <c r="M25" s="40" t="str">
        <f t="shared" si="7"/>
        <v/>
      </c>
      <c r="N25" s="40" t="str">
        <f t="shared" si="7"/>
        <v/>
      </c>
      <c r="O25" s="40" t="str">
        <f t="shared" si="7"/>
        <v/>
      </c>
      <c r="P25" s="41" t="str">
        <f t="shared" si="7"/>
        <v/>
      </c>
      <c r="Q25" s="41" t="str">
        <f t="shared" si="7"/>
        <v/>
      </c>
      <c r="R25" s="42" t="str">
        <f t="shared" si="7"/>
        <v/>
      </c>
      <c r="S25" s="40" t="str">
        <f t="shared" si="7"/>
        <v/>
      </c>
      <c r="T25" s="40" t="str">
        <f t="shared" si="7"/>
        <v/>
      </c>
      <c r="U25" s="40" t="str">
        <f t="shared" si="7"/>
        <v/>
      </c>
      <c r="V25" s="40" t="str">
        <f t="shared" si="7"/>
        <v/>
      </c>
      <c r="W25" s="40" t="str">
        <f t="shared" si="5"/>
        <v/>
      </c>
      <c r="X25" s="40" t="str">
        <f t="shared" si="5"/>
        <v/>
      </c>
      <c r="Y25" s="40" t="str">
        <f t="shared" si="5"/>
        <v/>
      </c>
      <c r="Z25" s="40" t="str">
        <f t="shared" si="5"/>
        <v/>
      </c>
      <c r="AA25" s="40" t="str">
        <f t="shared" si="5"/>
        <v/>
      </c>
      <c r="AB25" s="40" t="str">
        <f t="shared" si="5"/>
        <v/>
      </c>
      <c r="AC25" s="40" t="str">
        <f t="shared" si="5"/>
        <v/>
      </c>
      <c r="AD25" s="40" t="str">
        <f t="shared" si="5"/>
        <v/>
      </c>
      <c r="AE25" s="40" t="str">
        <f t="shared" si="5"/>
        <v/>
      </c>
      <c r="AF25" s="40" t="str">
        <f t="shared" si="5"/>
        <v/>
      </c>
      <c r="AG25" s="40" t="str">
        <f t="shared" si="5"/>
        <v/>
      </c>
      <c r="AH25" s="40" t="str">
        <f t="shared" si="2"/>
        <v/>
      </c>
      <c r="AI25" s="40" t="str">
        <f t="shared" si="2"/>
        <v/>
      </c>
      <c r="AJ25" s="40" t="str">
        <f t="shared" si="2"/>
        <v/>
      </c>
      <c r="AK25" s="40" t="str">
        <f t="shared" si="2"/>
        <v/>
      </c>
      <c r="AL25" s="40" t="str">
        <f t="shared" si="2"/>
        <v/>
      </c>
      <c r="AM25" s="40" t="str">
        <f t="shared" ref="AM25:BB33" si="8">IF(AND($E25&gt;0,$F25&gt;0,AM$4+6&gt;=$E25,AM$4&lt;=$F25),1,"")</f>
        <v/>
      </c>
      <c r="AN25" s="40" t="str">
        <f t="shared" si="8"/>
        <v/>
      </c>
      <c r="AO25" s="40" t="str">
        <f t="shared" si="8"/>
        <v/>
      </c>
      <c r="AP25" s="40" t="str">
        <f t="shared" si="8"/>
        <v/>
      </c>
      <c r="AQ25" s="40" t="str">
        <f t="shared" si="8"/>
        <v/>
      </c>
      <c r="AR25" s="40" t="str">
        <f t="shared" si="8"/>
        <v/>
      </c>
      <c r="AS25" s="40" t="str">
        <f t="shared" si="8"/>
        <v/>
      </c>
      <c r="AT25" s="40" t="str">
        <f t="shared" si="8"/>
        <v/>
      </c>
      <c r="AU25" s="40" t="str">
        <f t="shared" si="8"/>
        <v/>
      </c>
      <c r="AV25" s="40" t="str">
        <f t="shared" si="8"/>
        <v/>
      </c>
      <c r="AW25" s="40" t="str">
        <f t="shared" si="8"/>
        <v/>
      </c>
      <c r="AX25" s="40" t="str">
        <f t="shared" si="8"/>
        <v/>
      </c>
      <c r="AY25" s="40" t="str">
        <f t="shared" si="8"/>
        <v/>
      </c>
      <c r="AZ25" s="40" t="str">
        <f t="shared" si="8"/>
        <v/>
      </c>
      <c r="BA25" s="40" t="str">
        <f t="shared" si="8"/>
        <v/>
      </c>
      <c r="BB25" s="40" t="str">
        <f t="shared" si="8"/>
        <v/>
      </c>
      <c r="BC25" s="40" t="str">
        <f t="shared" si="6"/>
        <v/>
      </c>
      <c r="BD25" s="40" t="str">
        <f t="shared" si="6"/>
        <v/>
      </c>
      <c r="BE25" s="40" t="str">
        <f t="shared" si="6"/>
        <v/>
      </c>
      <c r="BF25" s="40" t="str">
        <f t="shared" si="6"/>
        <v/>
      </c>
    </row>
    <row r="26" spans="1:58">
      <c r="A26" s="43"/>
      <c r="B26" s="36" t="str" cm="1">
        <f t="array" ref="B26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C26" s="37" t="str" cm="1">
        <f t="array" ref="C26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D26" s="36" t="str" cm="1">
        <f t="array" ref="D26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E26" s="38" t="str" cm="1">
        <f t="array" ref="E26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26" s="39" t="str" cm="1">
        <f t="array" ref="F26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26" s="40" t="str">
        <f t="shared" si="7"/>
        <v/>
      </c>
      <c r="H26" s="40" t="str">
        <f t="shared" si="7"/>
        <v/>
      </c>
      <c r="I26" s="40" t="str">
        <f t="shared" si="7"/>
        <v/>
      </c>
      <c r="J26" s="40" t="str">
        <f t="shared" si="7"/>
        <v/>
      </c>
      <c r="K26" s="40" t="str">
        <f t="shared" si="7"/>
        <v/>
      </c>
      <c r="L26" s="40" t="str">
        <f t="shared" si="7"/>
        <v/>
      </c>
      <c r="M26" s="40" t="str">
        <f t="shared" si="7"/>
        <v/>
      </c>
      <c r="N26" s="40" t="str">
        <f t="shared" si="7"/>
        <v/>
      </c>
      <c r="O26" s="40" t="str">
        <f t="shared" si="7"/>
        <v/>
      </c>
      <c r="P26" s="41" t="str">
        <f t="shared" si="7"/>
        <v/>
      </c>
      <c r="Q26" s="41" t="str">
        <f t="shared" si="7"/>
        <v/>
      </c>
      <c r="R26" s="42" t="str">
        <f t="shared" si="7"/>
        <v/>
      </c>
      <c r="S26" s="40" t="str">
        <f t="shared" si="7"/>
        <v/>
      </c>
      <c r="T26" s="40" t="str">
        <f t="shared" si="7"/>
        <v/>
      </c>
      <c r="U26" s="40" t="str">
        <f t="shared" si="7"/>
        <v/>
      </c>
      <c r="V26" s="40" t="str">
        <f t="shared" si="7"/>
        <v/>
      </c>
      <c r="W26" s="40" t="str">
        <f t="shared" si="5"/>
        <v/>
      </c>
      <c r="X26" s="40" t="str">
        <f t="shared" si="5"/>
        <v/>
      </c>
      <c r="Y26" s="40" t="str">
        <f t="shared" si="5"/>
        <v/>
      </c>
      <c r="Z26" s="40" t="str">
        <f t="shared" si="5"/>
        <v/>
      </c>
      <c r="AA26" s="40" t="str">
        <f t="shared" si="5"/>
        <v/>
      </c>
      <c r="AB26" s="40" t="str">
        <f t="shared" si="5"/>
        <v/>
      </c>
      <c r="AC26" s="40" t="str">
        <f t="shared" si="5"/>
        <v/>
      </c>
      <c r="AD26" s="40" t="str">
        <f t="shared" si="5"/>
        <v/>
      </c>
      <c r="AE26" s="40" t="str">
        <f t="shared" si="5"/>
        <v/>
      </c>
      <c r="AF26" s="40" t="str">
        <f t="shared" si="5"/>
        <v/>
      </c>
      <c r="AG26" s="40" t="str">
        <f t="shared" si="5"/>
        <v/>
      </c>
      <c r="AH26" s="40" t="str">
        <f t="shared" si="2"/>
        <v/>
      </c>
      <c r="AI26" s="40" t="str">
        <f t="shared" si="2"/>
        <v/>
      </c>
      <c r="AJ26" s="40" t="str">
        <f t="shared" si="2"/>
        <v/>
      </c>
      <c r="AK26" s="40" t="str">
        <f t="shared" si="2"/>
        <v/>
      </c>
      <c r="AL26" s="40" t="str">
        <f t="shared" si="2"/>
        <v/>
      </c>
      <c r="AM26" s="40" t="str">
        <f t="shared" si="8"/>
        <v/>
      </c>
      <c r="AN26" s="40" t="str">
        <f t="shared" si="8"/>
        <v/>
      </c>
      <c r="AO26" s="40" t="str">
        <f t="shared" si="8"/>
        <v/>
      </c>
      <c r="AP26" s="40" t="str">
        <f t="shared" si="8"/>
        <v/>
      </c>
      <c r="AQ26" s="40" t="str">
        <f t="shared" si="8"/>
        <v/>
      </c>
      <c r="AR26" s="40" t="str">
        <f t="shared" si="8"/>
        <v/>
      </c>
      <c r="AS26" s="40" t="str">
        <f t="shared" si="8"/>
        <v/>
      </c>
      <c r="AT26" s="40" t="str">
        <f t="shared" si="8"/>
        <v/>
      </c>
      <c r="AU26" s="40" t="str">
        <f t="shared" si="8"/>
        <v/>
      </c>
      <c r="AV26" s="40" t="str">
        <f t="shared" si="8"/>
        <v/>
      </c>
      <c r="AW26" s="40" t="str">
        <f t="shared" si="8"/>
        <v/>
      </c>
      <c r="AX26" s="40" t="str">
        <f t="shared" si="8"/>
        <v/>
      </c>
      <c r="AY26" s="40" t="str">
        <f t="shared" si="8"/>
        <v/>
      </c>
      <c r="AZ26" s="40" t="str">
        <f t="shared" si="8"/>
        <v/>
      </c>
      <c r="BA26" s="40" t="str">
        <f t="shared" si="8"/>
        <v/>
      </c>
      <c r="BB26" s="40" t="str">
        <f t="shared" si="8"/>
        <v/>
      </c>
      <c r="BC26" s="40" t="str">
        <f t="shared" si="6"/>
        <v/>
      </c>
      <c r="BD26" s="40" t="str">
        <f t="shared" si="6"/>
        <v/>
      </c>
      <c r="BE26" s="40" t="str">
        <f t="shared" si="6"/>
        <v/>
      </c>
      <c r="BF26" s="40" t="str">
        <f t="shared" si="6"/>
        <v/>
      </c>
    </row>
    <row r="27" spans="1:58">
      <c r="A27" s="35"/>
      <c r="B27" s="36" t="str" cm="1">
        <f t="array" ref="B27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C27" s="37" t="str" cm="1">
        <f t="array" ref="C27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D27" s="36" t="str" cm="1">
        <f t="array" ref="D27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E27" s="38" t="str" cm="1">
        <f t="array" ref="E27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27" s="39" t="str" cm="1">
        <f t="array" ref="F27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27" s="40" t="str">
        <f t="shared" si="7"/>
        <v/>
      </c>
      <c r="H27" s="40" t="str">
        <f t="shared" si="7"/>
        <v/>
      </c>
      <c r="I27" s="40" t="str">
        <f t="shared" si="7"/>
        <v/>
      </c>
      <c r="J27" s="40" t="str">
        <f t="shared" si="7"/>
        <v/>
      </c>
      <c r="K27" s="40" t="str">
        <f t="shared" si="7"/>
        <v/>
      </c>
      <c r="L27" s="40" t="str">
        <f t="shared" si="7"/>
        <v/>
      </c>
      <c r="M27" s="40" t="str">
        <f t="shared" si="7"/>
        <v/>
      </c>
      <c r="N27" s="40" t="str">
        <f t="shared" si="7"/>
        <v/>
      </c>
      <c r="O27" s="40" t="str">
        <f t="shared" si="7"/>
        <v/>
      </c>
      <c r="P27" s="41" t="str">
        <f t="shared" si="7"/>
        <v/>
      </c>
      <c r="Q27" s="41" t="str">
        <f t="shared" si="7"/>
        <v/>
      </c>
      <c r="R27" s="42" t="str">
        <f t="shared" si="7"/>
        <v/>
      </c>
      <c r="S27" s="40" t="str">
        <f t="shared" si="7"/>
        <v/>
      </c>
      <c r="T27" s="40" t="str">
        <f t="shared" si="7"/>
        <v/>
      </c>
      <c r="U27" s="40" t="str">
        <f t="shared" si="7"/>
        <v/>
      </c>
      <c r="V27" s="40" t="str">
        <f t="shared" si="7"/>
        <v/>
      </c>
      <c r="W27" s="40" t="str">
        <f t="shared" si="5"/>
        <v/>
      </c>
      <c r="X27" s="40" t="str">
        <f t="shared" si="5"/>
        <v/>
      </c>
      <c r="Y27" s="40" t="str">
        <f t="shared" si="5"/>
        <v/>
      </c>
      <c r="Z27" s="40" t="str">
        <f t="shared" si="5"/>
        <v/>
      </c>
      <c r="AA27" s="40" t="str">
        <f t="shared" si="5"/>
        <v/>
      </c>
      <c r="AB27" s="40" t="str">
        <f t="shared" si="5"/>
        <v/>
      </c>
      <c r="AC27" s="40" t="str">
        <f t="shared" si="5"/>
        <v/>
      </c>
      <c r="AD27" s="40" t="str">
        <f t="shared" si="5"/>
        <v/>
      </c>
      <c r="AE27" s="40" t="str">
        <f t="shared" si="5"/>
        <v/>
      </c>
      <c r="AF27" s="40" t="str">
        <f t="shared" si="5"/>
        <v/>
      </c>
      <c r="AG27" s="40" t="str">
        <f t="shared" si="5"/>
        <v/>
      </c>
      <c r="AH27" s="40" t="str">
        <f t="shared" ref="AH27:AW33" si="9">IF(AND($E27&gt;0,$F27&gt;0,AH$4+6&gt;=$E27,AH$4&lt;=$F27),1,"")</f>
        <v/>
      </c>
      <c r="AI27" s="40" t="str">
        <f t="shared" si="9"/>
        <v/>
      </c>
      <c r="AJ27" s="40" t="str">
        <f t="shared" si="9"/>
        <v/>
      </c>
      <c r="AK27" s="40" t="str">
        <f t="shared" si="9"/>
        <v/>
      </c>
      <c r="AL27" s="40" t="str">
        <f t="shared" si="9"/>
        <v/>
      </c>
      <c r="AM27" s="40" t="str">
        <f t="shared" si="9"/>
        <v/>
      </c>
      <c r="AN27" s="40" t="str">
        <f t="shared" si="9"/>
        <v/>
      </c>
      <c r="AO27" s="40" t="str">
        <f t="shared" si="9"/>
        <v/>
      </c>
      <c r="AP27" s="40" t="str">
        <f t="shared" si="9"/>
        <v/>
      </c>
      <c r="AQ27" s="40" t="str">
        <f t="shared" si="9"/>
        <v/>
      </c>
      <c r="AR27" s="40" t="str">
        <f t="shared" si="9"/>
        <v/>
      </c>
      <c r="AS27" s="40" t="str">
        <f t="shared" si="9"/>
        <v/>
      </c>
      <c r="AT27" s="40" t="str">
        <f t="shared" si="9"/>
        <v/>
      </c>
      <c r="AU27" s="40" t="str">
        <f t="shared" si="9"/>
        <v/>
      </c>
      <c r="AV27" s="40" t="str">
        <f t="shared" si="9"/>
        <v/>
      </c>
      <c r="AW27" s="40" t="str">
        <f t="shared" si="9"/>
        <v/>
      </c>
      <c r="AX27" s="40" t="str">
        <f t="shared" si="8"/>
        <v/>
      </c>
      <c r="AY27" s="40" t="str">
        <f t="shared" si="8"/>
        <v/>
      </c>
      <c r="AZ27" s="40" t="str">
        <f t="shared" si="8"/>
        <v/>
      </c>
      <c r="BA27" s="40" t="str">
        <f t="shared" si="8"/>
        <v/>
      </c>
      <c r="BB27" s="40" t="str">
        <f t="shared" si="8"/>
        <v/>
      </c>
      <c r="BC27" s="40" t="str">
        <f t="shared" si="6"/>
        <v/>
      </c>
      <c r="BD27" s="40" t="str">
        <f t="shared" si="6"/>
        <v/>
      </c>
      <c r="BE27" s="40" t="str">
        <f t="shared" si="6"/>
        <v/>
      </c>
      <c r="BF27" s="40" t="str">
        <f t="shared" si="6"/>
        <v/>
      </c>
    </row>
    <row r="28" spans="1:58">
      <c r="A28" s="43"/>
      <c r="B28" s="36" t="str" cm="1">
        <f t="array" ref="B28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C28" s="37" t="str" cm="1">
        <f t="array" ref="C28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D28" s="36" t="str" cm="1">
        <f t="array" ref="D28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E28" s="38" t="str" cm="1">
        <f t="array" ref="E28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28" s="39" t="str" cm="1">
        <f t="array" ref="F28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28" s="40" t="str">
        <f t="shared" si="7"/>
        <v/>
      </c>
      <c r="H28" s="40" t="str">
        <f t="shared" si="7"/>
        <v/>
      </c>
      <c r="I28" s="40" t="str">
        <f t="shared" si="7"/>
        <v/>
      </c>
      <c r="J28" s="40" t="str">
        <f t="shared" si="7"/>
        <v/>
      </c>
      <c r="K28" s="40" t="str">
        <f t="shared" si="7"/>
        <v/>
      </c>
      <c r="L28" s="40" t="str">
        <f t="shared" si="7"/>
        <v/>
      </c>
      <c r="M28" s="40" t="str">
        <f t="shared" si="7"/>
        <v/>
      </c>
      <c r="N28" s="40" t="str">
        <f t="shared" si="7"/>
        <v/>
      </c>
      <c r="O28" s="40" t="str">
        <f t="shared" si="7"/>
        <v/>
      </c>
      <c r="P28" s="41" t="str">
        <f t="shared" si="7"/>
        <v/>
      </c>
      <c r="Q28" s="41" t="str">
        <f t="shared" si="7"/>
        <v/>
      </c>
      <c r="R28" s="42" t="str">
        <f t="shared" si="7"/>
        <v/>
      </c>
      <c r="S28" s="40" t="str">
        <f t="shared" si="7"/>
        <v/>
      </c>
      <c r="T28" s="40" t="str">
        <f t="shared" si="7"/>
        <v/>
      </c>
      <c r="U28" s="40" t="str">
        <f t="shared" si="7"/>
        <v/>
      </c>
      <c r="V28" s="40" t="str">
        <f t="shared" si="7"/>
        <v/>
      </c>
      <c r="W28" s="40" t="str">
        <f t="shared" si="5"/>
        <v/>
      </c>
      <c r="X28" s="40" t="str">
        <f t="shared" si="5"/>
        <v/>
      </c>
      <c r="Y28" s="40" t="str">
        <f t="shared" si="5"/>
        <v/>
      </c>
      <c r="Z28" s="40" t="str">
        <f t="shared" si="5"/>
        <v/>
      </c>
      <c r="AA28" s="40" t="str">
        <f t="shared" si="5"/>
        <v/>
      </c>
      <c r="AB28" s="40" t="str">
        <f t="shared" si="5"/>
        <v/>
      </c>
      <c r="AC28" s="40" t="str">
        <f t="shared" si="5"/>
        <v/>
      </c>
      <c r="AD28" s="40" t="str">
        <f t="shared" si="5"/>
        <v/>
      </c>
      <c r="AE28" s="40" t="str">
        <f t="shared" si="5"/>
        <v/>
      </c>
      <c r="AF28" s="40" t="str">
        <f t="shared" si="5"/>
        <v/>
      </c>
      <c r="AG28" s="40" t="str">
        <f t="shared" si="5"/>
        <v/>
      </c>
      <c r="AH28" s="40" t="str">
        <f t="shared" si="9"/>
        <v/>
      </c>
      <c r="AI28" s="40" t="str">
        <f t="shared" si="9"/>
        <v/>
      </c>
      <c r="AJ28" s="40" t="str">
        <f t="shared" si="9"/>
        <v/>
      </c>
      <c r="AK28" s="40" t="str">
        <f t="shared" si="9"/>
        <v/>
      </c>
      <c r="AL28" s="40" t="str">
        <f t="shared" si="9"/>
        <v/>
      </c>
      <c r="AM28" s="40" t="str">
        <f t="shared" si="9"/>
        <v/>
      </c>
      <c r="AN28" s="40" t="str">
        <f t="shared" si="9"/>
        <v/>
      </c>
      <c r="AO28" s="40" t="str">
        <f t="shared" si="9"/>
        <v/>
      </c>
      <c r="AP28" s="40" t="str">
        <f t="shared" si="9"/>
        <v/>
      </c>
      <c r="AQ28" s="40" t="str">
        <f t="shared" si="9"/>
        <v/>
      </c>
      <c r="AR28" s="40" t="str">
        <f t="shared" si="9"/>
        <v/>
      </c>
      <c r="AS28" s="40" t="str">
        <f t="shared" si="9"/>
        <v/>
      </c>
      <c r="AT28" s="40" t="str">
        <f t="shared" si="9"/>
        <v/>
      </c>
      <c r="AU28" s="40" t="str">
        <f t="shared" si="9"/>
        <v/>
      </c>
      <c r="AV28" s="40" t="str">
        <f t="shared" si="9"/>
        <v/>
      </c>
      <c r="AW28" s="40" t="str">
        <f t="shared" si="9"/>
        <v/>
      </c>
      <c r="AX28" s="40" t="str">
        <f t="shared" si="8"/>
        <v/>
      </c>
      <c r="AY28" s="40" t="str">
        <f t="shared" si="8"/>
        <v/>
      </c>
      <c r="AZ28" s="40" t="str">
        <f t="shared" si="8"/>
        <v/>
      </c>
      <c r="BA28" s="40" t="str">
        <f t="shared" si="8"/>
        <v/>
      </c>
      <c r="BB28" s="40" t="str">
        <f t="shared" si="8"/>
        <v/>
      </c>
      <c r="BC28" s="40" t="str">
        <f t="shared" si="6"/>
        <v/>
      </c>
      <c r="BD28" s="40" t="str">
        <f t="shared" si="6"/>
        <v/>
      </c>
      <c r="BE28" s="40" t="str">
        <f t="shared" si="6"/>
        <v/>
      </c>
      <c r="BF28" s="40" t="str">
        <f t="shared" si="6"/>
        <v/>
      </c>
    </row>
    <row r="29" spans="1:58">
      <c r="A29" s="35"/>
      <c r="B29" s="36" t="str" cm="1">
        <f t="array" ref="B29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C29" s="37" t="str" cm="1">
        <f t="array" ref="C29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D29" s="36" t="str" cm="1">
        <f t="array" ref="D29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E29" s="38" t="str" cm="1">
        <f t="array" ref="E29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29" s="39" t="str" cm="1">
        <f t="array" ref="F29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29" s="40" t="str">
        <f t="shared" si="7"/>
        <v/>
      </c>
      <c r="H29" s="40" t="str">
        <f t="shared" si="7"/>
        <v/>
      </c>
      <c r="I29" s="40" t="str">
        <f t="shared" si="7"/>
        <v/>
      </c>
      <c r="J29" s="40" t="str">
        <f t="shared" si="7"/>
        <v/>
      </c>
      <c r="K29" s="40" t="str">
        <f t="shared" si="7"/>
        <v/>
      </c>
      <c r="L29" s="40" t="str">
        <f t="shared" si="7"/>
        <v/>
      </c>
      <c r="M29" s="40" t="str">
        <f t="shared" si="7"/>
        <v/>
      </c>
      <c r="N29" s="40" t="str">
        <f t="shared" si="7"/>
        <v/>
      </c>
      <c r="O29" s="40" t="str">
        <f t="shared" si="7"/>
        <v/>
      </c>
      <c r="P29" s="41" t="str">
        <f t="shared" si="7"/>
        <v/>
      </c>
      <c r="Q29" s="41" t="str">
        <f t="shared" si="7"/>
        <v/>
      </c>
      <c r="R29" s="42" t="str">
        <f t="shared" si="7"/>
        <v/>
      </c>
      <c r="S29" s="40" t="str">
        <f t="shared" si="7"/>
        <v/>
      </c>
      <c r="T29" s="40" t="str">
        <f t="shared" si="7"/>
        <v/>
      </c>
      <c r="U29" s="40" t="str">
        <f t="shared" si="7"/>
        <v/>
      </c>
      <c r="V29" s="40" t="str">
        <f t="shared" si="7"/>
        <v/>
      </c>
      <c r="W29" s="40" t="str">
        <f t="shared" si="5"/>
        <v/>
      </c>
      <c r="X29" s="40" t="str">
        <f t="shared" si="5"/>
        <v/>
      </c>
      <c r="Y29" s="40" t="str">
        <f t="shared" si="5"/>
        <v/>
      </c>
      <c r="Z29" s="40" t="str">
        <f t="shared" si="5"/>
        <v/>
      </c>
      <c r="AA29" s="40" t="str">
        <f t="shared" si="5"/>
        <v/>
      </c>
      <c r="AB29" s="40" t="str">
        <f t="shared" si="5"/>
        <v/>
      </c>
      <c r="AC29" s="40" t="str">
        <f t="shared" si="5"/>
        <v/>
      </c>
      <c r="AD29" s="40" t="str">
        <f t="shared" si="5"/>
        <v/>
      </c>
      <c r="AE29" s="40" t="str">
        <f t="shared" si="5"/>
        <v/>
      </c>
      <c r="AF29" s="40" t="str">
        <f t="shared" si="5"/>
        <v/>
      </c>
      <c r="AG29" s="40" t="str">
        <f t="shared" si="5"/>
        <v/>
      </c>
      <c r="AH29" s="40" t="str">
        <f t="shared" si="9"/>
        <v/>
      </c>
      <c r="AI29" s="40" t="str">
        <f t="shared" si="9"/>
        <v/>
      </c>
      <c r="AJ29" s="40" t="str">
        <f t="shared" si="9"/>
        <v/>
      </c>
      <c r="AK29" s="40" t="str">
        <f t="shared" si="9"/>
        <v/>
      </c>
      <c r="AL29" s="40" t="str">
        <f t="shared" si="9"/>
        <v/>
      </c>
      <c r="AM29" s="40" t="str">
        <f t="shared" si="9"/>
        <v/>
      </c>
      <c r="AN29" s="40" t="str">
        <f t="shared" si="9"/>
        <v/>
      </c>
      <c r="AO29" s="40" t="str">
        <f t="shared" si="9"/>
        <v/>
      </c>
      <c r="AP29" s="40" t="str">
        <f t="shared" si="9"/>
        <v/>
      </c>
      <c r="AQ29" s="40" t="str">
        <f t="shared" si="9"/>
        <v/>
      </c>
      <c r="AR29" s="40" t="str">
        <f t="shared" si="9"/>
        <v/>
      </c>
      <c r="AS29" s="40" t="str">
        <f t="shared" si="9"/>
        <v/>
      </c>
      <c r="AT29" s="40" t="str">
        <f t="shared" si="9"/>
        <v/>
      </c>
      <c r="AU29" s="40" t="str">
        <f t="shared" si="9"/>
        <v/>
      </c>
      <c r="AV29" s="40" t="str">
        <f t="shared" si="9"/>
        <v/>
      </c>
      <c r="AW29" s="40" t="str">
        <f t="shared" si="9"/>
        <v/>
      </c>
      <c r="AX29" s="40" t="str">
        <f t="shared" si="8"/>
        <v/>
      </c>
      <c r="AY29" s="40" t="str">
        <f t="shared" si="8"/>
        <v/>
      </c>
      <c r="AZ29" s="40" t="str">
        <f t="shared" si="8"/>
        <v/>
      </c>
      <c r="BA29" s="40" t="str">
        <f t="shared" si="8"/>
        <v/>
      </c>
      <c r="BB29" s="40" t="str">
        <f t="shared" si="8"/>
        <v/>
      </c>
      <c r="BC29" s="40" t="str">
        <f t="shared" si="6"/>
        <v/>
      </c>
      <c r="BD29" s="40" t="str">
        <f t="shared" si="6"/>
        <v/>
      </c>
      <c r="BE29" s="40" t="str">
        <f t="shared" si="6"/>
        <v/>
      </c>
      <c r="BF29" s="40" t="str">
        <f t="shared" si="6"/>
        <v/>
      </c>
    </row>
    <row r="30" spans="1:58">
      <c r="A30" s="43"/>
      <c r="B30" s="36" t="str" cm="1">
        <f t="array" ref="B30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C30" s="37" t="str" cm="1">
        <f t="array" ref="C30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D30" s="36" t="str" cm="1">
        <f t="array" ref="D30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E30" s="38" t="str" cm="1">
        <f t="array" ref="E30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30" s="39" t="str" cm="1">
        <f t="array" ref="F30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30" s="40" t="str">
        <f t="shared" si="7"/>
        <v/>
      </c>
      <c r="H30" s="40" t="str">
        <f t="shared" si="7"/>
        <v/>
      </c>
      <c r="I30" s="40" t="str">
        <f t="shared" si="7"/>
        <v/>
      </c>
      <c r="J30" s="40" t="str">
        <f t="shared" si="7"/>
        <v/>
      </c>
      <c r="K30" s="40" t="str">
        <f t="shared" si="7"/>
        <v/>
      </c>
      <c r="L30" s="40" t="str">
        <f t="shared" si="7"/>
        <v/>
      </c>
      <c r="M30" s="40" t="str">
        <f t="shared" si="7"/>
        <v/>
      </c>
      <c r="N30" s="40" t="str">
        <f t="shared" si="7"/>
        <v/>
      </c>
      <c r="O30" s="40" t="str">
        <f t="shared" si="7"/>
        <v/>
      </c>
      <c r="P30" s="41" t="str">
        <f t="shared" si="7"/>
        <v/>
      </c>
      <c r="Q30" s="41" t="str">
        <f t="shared" si="7"/>
        <v/>
      </c>
      <c r="R30" s="42" t="str">
        <f t="shared" si="7"/>
        <v/>
      </c>
      <c r="S30" s="40" t="str">
        <f t="shared" si="7"/>
        <v/>
      </c>
      <c r="T30" s="40" t="str">
        <f t="shared" si="7"/>
        <v/>
      </c>
      <c r="U30" s="40" t="str">
        <f t="shared" si="7"/>
        <v/>
      </c>
      <c r="V30" s="40" t="str">
        <f t="shared" si="7"/>
        <v/>
      </c>
      <c r="W30" s="40" t="str">
        <f t="shared" si="5"/>
        <v/>
      </c>
      <c r="X30" s="40" t="str">
        <f t="shared" si="5"/>
        <v/>
      </c>
      <c r="Y30" s="40" t="str">
        <f t="shared" si="5"/>
        <v/>
      </c>
      <c r="Z30" s="40" t="str">
        <f t="shared" si="5"/>
        <v/>
      </c>
      <c r="AA30" s="40" t="str">
        <f t="shared" si="5"/>
        <v/>
      </c>
      <c r="AB30" s="40" t="str">
        <f t="shared" si="5"/>
        <v/>
      </c>
      <c r="AC30" s="40" t="str">
        <f t="shared" si="5"/>
        <v/>
      </c>
      <c r="AD30" s="40" t="str">
        <f t="shared" si="5"/>
        <v/>
      </c>
      <c r="AE30" s="40" t="str">
        <f t="shared" si="5"/>
        <v/>
      </c>
      <c r="AF30" s="40" t="str">
        <f t="shared" si="5"/>
        <v/>
      </c>
      <c r="AG30" s="40" t="str">
        <f t="shared" si="5"/>
        <v/>
      </c>
      <c r="AH30" s="40" t="str">
        <f t="shared" si="9"/>
        <v/>
      </c>
      <c r="AI30" s="40" t="str">
        <f t="shared" si="9"/>
        <v/>
      </c>
      <c r="AJ30" s="40" t="str">
        <f t="shared" si="9"/>
        <v/>
      </c>
      <c r="AK30" s="40" t="str">
        <f t="shared" si="9"/>
        <v/>
      </c>
      <c r="AL30" s="40" t="str">
        <f t="shared" si="9"/>
        <v/>
      </c>
      <c r="AM30" s="40" t="str">
        <f t="shared" si="9"/>
        <v/>
      </c>
      <c r="AN30" s="40" t="str">
        <f t="shared" si="9"/>
        <v/>
      </c>
      <c r="AO30" s="40" t="str">
        <f t="shared" si="9"/>
        <v/>
      </c>
      <c r="AP30" s="40" t="str">
        <f t="shared" si="9"/>
        <v/>
      </c>
      <c r="AQ30" s="40" t="str">
        <f t="shared" si="9"/>
        <v/>
      </c>
      <c r="AR30" s="40" t="str">
        <f t="shared" si="9"/>
        <v/>
      </c>
      <c r="AS30" s="40" t="str">
        <f t="shared" si="9"/>
        <v/>
      </c>
      <c r="AT30" s="40" t="str">
        <f t="shared" si="9"/>
        <v/>
      </c>
      <c r="AU30" s="40" t="str">
        <f t="shared" si="9"/>
        <v/>
      </c>
      <c r="AV30" s="40" t="str">
        <f t="shared" si="9"/>
        <v/>
      </c>
      <c r="AW30" s="40" t="str">
        <f t="shared" si="9"/>
        <v/>
      </c>
      <c r="AX30" s="40" t="str">
        <f t="shared" si="8"/>
        <v/>
      </c>
      <c r="AY30" s="40" t="str">
        <f t="shared" si="8"/>
        <v/>
      </c>
      <c r="AZ30" s="40" t="str">
        <f t="shared" si="8"/>
        <v/>
      </c>
      <c r="BA30" s="40" t="str">
        <f t="shared" si="8"/>
        <v/>
      </c>
      <c r="BB30" s="40" t="str">
        <f t="shared" si="8"/>
        <v/>
      </c>
      <c r="BC30" s="40" t="str">
        <f t="shared" si="6"/>
        <v/>
      </c>
      <c r="BD30" s="40" t="str">
        <f t="shared" si="6"/>
        <v/>
      </c>
      <c r="BE30" s="40" t="str">
        <f t="shared" si="6"/>
        <v/>
      </c>
      <c r="BF30" s="40" t="str">
        <f t="shared" si="6"/>
        <v/>
      </c>
    </row>
    <row r="31" spans="1:58">
      <c r="A31" s="35"/>
      <c r="B31" s="36" t="str" cm="1">
        <f t="array" ref="B31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C31" s="37" t="str" cm="1">
        <f t="array" ref="C31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D31" s="36" t="str" cm="1">
        <f t="array" ref="D31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E31" s="38" t="str" cm="1">
        <f t="array" ref="E31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31" s="39" t="str" cm="1">
        <f t="array" ref="F31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31" s="40" t="str">
        <f t="shared" si="7"/>
        <v/>
      </c>
      <c r="H31" s="40" t="str">
        <f t="shared" si="7"/>
        <v/>
      </c>
      <c r="I31" s="40" t="str">
        <f t="shared" si="7"/>
        <v/>
      </c>
      <c r="J31" s="40" t="str">
        <f t="shared" si="7"/>
        <v/>
      </c>
      <c r="K31" s="40" t="str">
        <f t="shared" si="7"/>
        <v/>
      </c>
      <c r="L31" s="40" t="str">
        <f t="shared" si="7"/>
        <v/>
      </c>
      <c r="M31" s="40" t="str">
        <f t="shared" si="7"/>
        <v/>
      </c>
      <c r="N31" s="40" t="str">
        <f t="shared" si="7"/>
        <v/>
      </c>
      <c r="O31" s="40" t="str">
        <f t="shared" si="7"/>
        <v/>
      </c>
      <c r="P31" s="41" t="str">
        <f t="shared" si="7"/>
        <v/>
      </c>
      <c r="Q31" s="41" t="str">
        <f t="shared" si="7"/>
        <v/>
      </c>
      <c r="R31" s="42" t="str">
        <f t="shared" si="7"/>
        <v/>
      </c>
      <c r="S31" s="40" t="str">
        <f t="shared" si="7"/>
        <v/>
      </c>
      <c r="T31" s="40" t="str">
        <f t="shared" si="7"/>
        <v/>
      </c>
      <c r="U31" s="40" t="str">
        <f t="shared" si="7"/>
        <v/>
      </c>
      <c r="V31" s="40" t="str">
        <f t="shared" si="7"/>
        <v/>
      </c>
      <c r="W31" s="40" t="str">
        <f t="shared" si="5"/>
        <v/>
      </c>
      <c r="X31" s="40" t="str">
        <f t="shared" si="5"/>
        <v/>
      </c>
      <c r="Y31" s="40" t="str">
        <f t="shared" si="5"/>
        <v/>
      </c>
      <c r="Z31" s="40" t="str">
        <f t="shared" si="5"/>
        <v/>
      </c>
      <c r="AA31" s="40" t="str">
        <f t="shared" si="5"/>
        <v/>
      </c>
      <c r="AB31" s="40" t="str">
        <f t="shared" si="5"/>
        <v/>
      </c>
      <c r="AC31" s="40" t="str">
        <f t="shared" si="5"/>
        <v/>
      </c>
      <c r="AD31" s="40" t="str">
        <f t="shared" si="5"/>
        <v/>
      </c>
      <c r="AE31" s="40" t="str">
        <f t="shared" si="5"/>
        <v/>
      </c>
      <c r="AF31" s="40" t="str">
        <f t="shared" si="5"/>
        <v/>
      </c>
      <c r="AG31" s="40" t="str">
        <f t="shared" si="5"/>
        <v/>
      </c>
      <c r="AH31" s="40" t="str">
        <f t="shared" si="9"/>
        <v/>
      </c>
      <c r="AI31" s="40" t="str">
        <f t="shared" si="9"/>
        <v/>
      </c>
      <c r="AJ31" s="40" t="str">
        <f t="shared" si="9"/>
        <v/>
      </c>
      <c r="AK31" s="40" t="str">
        <f t="shared" si="9"/>
        <v/>
      </c>
      <c r="AL31" s="40" t="str">
        <f t="shared" si="9"/>
        <v/>
      </c>
      <c r="AM31" s="40" t="str">
        <f t="shared" si="9"/>
        <v/>
      </c>
      <c r="AN31" s="40" t="str">
        <f t="shared" si="9"/>
        <v/>
      </c>
      <c r="AO31" s="40" t="str">
        <f t="shared" si="9"/>
        <v/>
      </c>
      <c r="AP31" s="40" t="str">
        <f t="shared" si="9"/>
        <v/>
      </c>
      <c r="AQ31" s="40" t="str">
        <f t="shared" si="9"/>
        <v/>
      </c>
      <c r="AR31" s="40" t="str">
        <f t="shared" si="9"/>
        <v/>
      </c>
      <c r="AS31" s="40" t="str">
        <f t="shared" si="9"/>
        <v/>
      </c>
      <c r="AT31" s="40" t="str">
        <f t="shared" si="9"/>
        <v/>
      </c>
      <c r="AU31" s="40" t="str">
        <f t="shared" si="9"/>
        <v/>
      </c>
      <c r="AV31" s="40" t="str">
        <f t="shared" si="9"/>
        <v/>
      </c>
      <c r="AW31" s="40" t="str">
        <f t="shared" si="9"/>
        <v/>
      </c>
      <c r="AX31" s="40" t="str">
        <f t="shared" si="8"/>
        <v/>
      </c>
      <c r="AY31" s="40" t="str">
        <f t="shared" si="8"/>
        <v/>
      </c>
      <c r="AZ31" s="40" t="str">
        <f t="shared" si="8"/>
        <v/>
      </c>
      <c r="BA31" s="40" t="str">
        <f t="shared" si="8"/>
        <v/>
      </c>
      <c r="BB31" s="40" t="str">
        <f t="shared" si="8"/>
        <v/>
      </c>
      <c r="BC31" s="40" t="str">
        <f t="shared" si="6"/>
        <v/>
      </c>
      <c r="BD31" s="40" t="str">
        <f t="shared" si="6"/>
        <v/>
      </c>
      <c r="BE31" s="40" t="str">
        <f t="shared" si="6"/>
        <v/>
      </c>
      <c r="BF31" s="40" t="str">
        <f t="shared" si="6"/>
        <v/>
      </c>
    </row>
    <row r="32" spans="1:58">
      <c r="A32" s="43"/>
      <c r="B32" s="36" t="str" cm="1">
        <f t="array" ref="B32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C32" s="37" t="str" cm="1">
        <f t="array" ref="C32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D32" s="36" t="str" cm="1">
        <f t="array" ref="D32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E32" s="38" t="str" cm="1">
        <f t="array" ref="E32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32" s="39" t="str" cm="1">
        <f t="array" ref="F32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32" s="40" t="str">
        <f t="shared" si="7"/>
        <v/>
      </c>
      <c r="H32" s="40" t="str">
        <f t="shared" si="7"/>
        <v/>
      </c>
      <c r="I32" s="40" t="str">
        <f t="shared" si="7"/>
        <v/>
      </c>
      <c r="J32" s="40" t="str">
        <f t="shared" si="7"/>
        <v/>
      </c>
      <c r="K32" s="40" t="str">
        <f t="shared" si="7"/>
        <v/>
      </c>
      <c r="L32" s="40" t="str">
        <f t="shared" si="7"/>
        <v/>
      </c>
      <c r="M32" s="40" t="str">
        <f t="shared" si="7"/>
        <v/>
      </c>
      <c r="N32" s="40" t="str">
        <f t="shared" si="7"/>
        <v/>
      </c>
      <c r="O32" s="40" t="str">
        <f t="shared" si="7"/>
        <v/>
      </c>
      <c r="P32" s="41" t="str">
        <f t="shared" si="7"/>
        <v/>
      </c>
      <c r="Q32" s="41" t="str">
        <f t="shared" si="7"/>
        <v/>
      </c>
      <c r="R32" s="42" t="str">
        <f t="shared" si="7"/>
        <v/>
      </c>
      <c r="S32" s="40" t="str">
        <f t="shared" si="7"/>
        <v/>
      </c>
      <c r="T32" s="40" t="str">
        <f t="shared" si="7"/>
        <v/>
      </c>
      <c r="U32" s="40" t="str">
        <f t="shared" si="7"/>
        <v/>
      </c>
      <c r="V32" s="40" t="str">
        <f t="shared" si="7"/>
        <v/>
      </c>
      <c r="W32" s="40" t="str">
        <f t="shared" si="5"/>
        <v/>
      </c>
      <c r="X32" s="40" t="str">
        <f t="shared" si="5"/>
        <v/>
      </c>
      <c r="Y32" s="40" t="str">
        <f t="shared" si="5"/>
        <v/>
      </c>
      <c r="Z32" s="40" t="str">
        <f t="shared" si="5"/>
        <v/>
      </c>
      <c r="AA32" s="40" t="str">
        <f t="shared" si="5"/>
        <v/>
      </c>
      <c r="AB32" s="40" t="str">
        <f t="shared" si="5"/>
        <v/>
      </c>
      <c r="AC32" s="40" t="str">
        <f t="shared" si="5"/>
        <v/>
      </c>
      <c r="AD32" s="40" t="str">
        <f t="shared" si="5"/>
        <v/>
      </c>
      <c r="AE32" s="40" t="str">
        <f t="shared" si="5"/>
        <v/>
      </c>
      <c r="AF32" s="40" t="str">
        <f t="shared" si="5"/>
        <v/>
      </c>
      <c r="AG32" s="40" t="str">
        <f t="shared" si="5"/>
        <v/>
      </c>
      <c r="AH32" s="40" t="str">
        <f t="shared" si="9"/>
        <v/>
      </c>
      <c r="AI32" s="40" t="str">
        <f t="shared" si="9"/>
        <v/>
      </c>
      <c r="AJ32" s="40" t="str">
        <f t="shared" si="9"/>
        <v/>
      </c>
      <c r="AK32" s="40" t="str">
        <f t="shared" si="9"/>
        <v/>
      </c>
      <c r="AL32" s="40" t="str">
        <f t="shared" si="9"/>
        <v/>
      </c>
      <c r="AM32" s="40" t="str">
        <f t="shared" si="9"/>
        <v/>
      </c>
      <c r="AN32" s="40" t="str">
        <f t="shared" si="9"/>
        <v/>
      </c>
      <c r="AO32" s="40" t="str">
        <f t="shared" si="9"/>
        <v/>
      </c>
      <c r="AP32" s="40" t="str">
        <f t="shared" si="9"/>
        <v/>
      </c>
      <c r="AQ32" s="40" t="str">
        <f t="shared" si="9"/>
        <v/>
      </c>
      <c r="AR32" s="40" t="str">
        <f t="shared" si="9"/>
        <v/>
      </c>
      <c r="AS32" s="40" t="str">
        <f t="shared" si="9"/>
        <v/>
      </c>
      <c r="AT32" s="40" t="str">
        <f t="shared" si="9"/>
        <v/>
      </c>
      <c r="AU32" s="40" t="str">
        <f t="shared" si="9"/>
        <v/>
      </c>
      <c r="AV32" s="40" t="str">
        <f t="shared" si="9"/>
        <v/>
      </c>
      <c r="AW32" s="40" t="str">
        <f t="shared" si="9"/>
        <v/>
      </c>
      <c r="AX32" s="40" t="str">
        <f t="shared" si="8"/>
        <v/>
      </c>
      <c r="AY32" s="40" t="str">
        <f t="shared" si="8"/>
        <v/>
      </c>
      <c r="AZ32" s="40" t="str">
        <f t="shared" si="8"/>
        <v/>
      </c>
      <c r="BA32" s="40" t="str">
        <f t="shared" si="8"/>
        <v/>
      </c>
      <c r="BB32" s="40" t="str">
        <f t="shared" si="8"/>
        <v/>
      </c>
      <c r="BC32" s="40" t="str">
        <f t="shared" si="6"/>
        <v/>
      </c>
      <c r="BD32" s="40" t="str">
        <f t="shared" si="6"/>
        <v/>
      </c>
      <c r="BE32" s="40" t="str">
        <f t="shared" si="6"/>
        <v/>
      </c>
      <c r="BF32" s="40" t="str">
        <f t="shared" si="6"/>
        <v/>
      </c>
    </row>
    <row r="33" spans="1:58">
      <c r="A33" s="35"/>
      <c r="B33" s="36" t="str" cm="1">
        <f t="array" ref="B33">IFERROR(INDEX(_xlfn.SORTBY(_xlfn._xlws.FILTER('Project Portfolio'!A$4:A$43,('Project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C33" s="37" t="str" cm="1">
        <f t="array" ref="C33">IFERROR(INDEX(_xlfn.SORTBY(_xlfn._xlws.FILTER('Project Portfolio'!B$4:B$43,('Project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D33" s="36" t="str" cm="1">
        <f t="array" ref="D33">IFERROR(INDEX(_xlfn.SORTBY(_xlfn._xlws.FILTER('Project Portfolio'!F$4:F$43,('Project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Portfolio'!A$4:A$43&lt;&gt;"")),1),ROW()-4),"")</f>
        <v/>
      </c>
      <c r="E33" s="38" t="str" cm="1">
        <f t="array" ref="E33">IFERROR(IF(INDEX(_xlfn.SORTBY(_xlfn._xlws.FILTER('Project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Portfolio'!I$4:I$43,('Project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F33" s="39" t="str" cm="1">
        <f t="array" ref="F33">IFERROR(IF(INDEX(_xlfn.SORTBY(_xlfn._xlws.FILTER('Project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Portfolio'!A$4:A$43&lt;&gt;"")),1),ROW()-4)=0,"",INDEX(_xlfn.SORTBY(_xlfn._xlws.FILTER('Project Portfolio'!J$4:J$43,('Project Portfolio'!F$4:F$43&lt;&gt;"✅ COMPLETE")*('Project Portfolio'!F$4:F$43&lt;&gt;"🚫 NOT APPROVED")*('Project Portfolio'!F$4:F$43&lt;&gt;"⏸️ POSTPONED")*('Project Portfolio'!A$4:A$43&lt;&gt;"")),_xlfn._xlws.FILTER(IF('Project Portfolio'!J$4:J$43=0,99999,'Project Portfolio'!J$4:J$43),('Project Portfolio'!F$4:F$43&lt;&gt;"✅ COMPLETE")*('Project Portfolio'!F$4:F$43&lt;&gt;"🚫 NOT APPROVED")*('Project Portfolio'!F$4:F$43&lt;&gt;"⏸️ POSTPONED")*('Project Portfolio'!A$4:A$43&lt;&gt;"")),1),ROW()-4)),"")</f>
        <v/>
      </c>
      <c r="G33" s="40" t="str">
        <f t="shared" si="7"/>
        <v/>
      </c>
      <c r="H33" s="40" t="str">
        <f t="shared" si="7"/>
        <v/>
      </c>
      <c r="I33" s="40" t="str">
        <f t="shared" si="7"/>
        <v/>
      </c>
      <c r="J33" s="40" t="str">
        <f t="shared" si="7"/>
        <v/>
      </c>
      <c r="K33" s="40" t="str">
        <f t="shared" si="7"/>
        <v/>
      </c>
      <c r="L33" s="40" t="str">
        <f t="shared" si="7"/>
        <v/>
      </c>
      <c r="M33" s="40" t="str">
        <f t="shared" si="7"/>
        <v/>
      </c>
      <c r="N33" s="40" t="str">
        <f t="shared" si="7"/>
        <v/>
      </c>
      <c r="O33" s="40" t="str">
        <f t="shared" si="7"/>
        <v/>
      </c>
      <c r="P33" s="41" t="str">
        <f t="shared" si="7"/>
        <v/>
      </c>
      <c r="Q33" s="41" t="str">
        <f t="shared" si="7"/>
        <v/>
      </c>
      <c r="R33" s="42" t="str">
        <f t="shared" si="7"/>
        <v/>
      </c>
      <c r="S33" s="40" t="str">
        <f t="shared" si="7"/>
        <v/>
      </c>
      <c r="T33" s="40" t="str">
        <f t="shared" si="7"/>
        <v/>
      </c>
      <c r="U33" s="40" t="str">
        <f t="shared" si="7"/>
        <v/>
      </c>
      <c r="V33" s="40" t="str">
        <f t="shared" si="7"/>
        <v/>
      </c>
      <c r="W33" s="40" t="str">
        <f t="shared" si="5"/>
        <v/>
      </c>
      <c r="X33" s="40" t="str">
        <f t="shared" si="5"/>
        <v/>
      </c>
      <c r="Y33" s="40" t="str">
        <f t="shared" si="5"/>
        <v/>
      </c>
      <c r="Z33" s="40" t="str">
        <f t="shared" si="5"/>
        <v/>
      </c>
      <c r="AA33" s="40" t="str">
        <f t="shared" si="5"/>
        <v/>
      </c>
      <c r="AB33" s="40" t="str">
        <f t="shared" si="5"/>
        <v/>
      </c>
      <c r="AC33" s="40" t="str">
        <f t="shared" si="5"/>
        <v/>
      </c>
      <c r="AD33" s="40" t="str">
        <f t="shared" si="5"/>
        <v/>
      </c>
      <c r="AE33" s="40" t="str">
        <f t="shared" si="5"/>
        <v/>
      </c>
      <c r="AF33" s="40" t="str">
        <f t="shared" si="5"/>
        <v/>
      </c>
      <c r="AG33" s="40" t="str">
        <f t="shared" si="5"/>
        <v/>
      </c>
      <c r="AH33" s="40" t="str">
        <f t="shared" si="9"/>
        <v/>
      </c>
      <c r="AI33" s="40" t="str">
        <f t="shared" si="9"/>
        <v/>
      </c>
      <c r="AJ33" s="40" t="str">
        <f t="shared" si="9"/>
        <v/>
      </c>
      <c r="AK33" s="40" t="str">
        <f t="shared" si="9"/>
        <v/>
      </c>
      <c r="AL33" s="40" t="str">
        <f t="shared" si="9"/>
        <v/>
      </c>
      <c r="AM33" s="40" t="str">
        <f t="shared" si="9"/>
        <v/>
      </c>
      <c r="AN33" s="40" t="str">
        <f t="shared" si="9"/>
        <v/>
      </c>
      <c r="AO33" s="40" t="str">
        <f t="shared" si="9"/>
        <v/>
      </c>
      <c r="AP33" s="40" t="str">
        <f t="shared" si="9"/>
        <v/>
      </c>
      <c r="AQ33" s="40" t="str">
        <f t="shared" si="9"/>
        <v/>
      </c>
      <c r="AR33" s="40" t="str">
        <f t="shared" si="9"/>
        <v/>
      </c>
      <c r="AS33" s="40" t="str">
        <f t="shared" si="9"/>
        <v/>
      </c>
      <c r="AT33" s="40" t="str">
        <f t="shared" si="9"/>
        <v/>
      </c>
      <c r="AU33" s="40" t="str">
        <f t="shared" si="9"/>
        <v/>
      </c>
      <c r="AV33" s="40" t="str">
        <f t="shared" si="9"/>
        <v/>
      </c>
      <c r="AW33" s="40" t="str">
        <f t="shared" si="9"/>
        <v/>
      </c>
      <c r="AX33" s="40" t="str">
        <f t="shared" si="8"/>
        <v/>
      </c>
      <c r="AY33" s="40" t="str">
        <f t="shared" si="8"/>
        <v/>
      </c>
      <c r="AZ33" s="40" t="str">
        <f t="shared" si="8"/>
        <v/>
      </c>
      <c r="BA33" s="40" t="str">
        <f t="shared" si="8"/>
        <v/>
      </c>
      <c r="BB33" s="40" t="str">
        <f t="shared" si="8"/>
        <v/>
      </c>
      <c r="BC33" s="40" t="str">
        <f t="shared" si="6"/>
        <v/>
      </c>
      <c r="BD33" s="40" t="str">
        <f t="shared" si="6"/>
        <v/>
      </c>
      <c r="BE33" s="40" t="str">
        <f t="shared" si="6"/>
        <v/>
      </c>
      <c r="BF33" s="40" t="str">
        <f t="shared" si="6"/>
        <v/>
      </c>
    </row>
  </sheetData>
  <sheetProtection sheet="1" objects="1" scenarios="1"/>
  <mergeCells count="13">
    <mergeCell ref="BC3:BF3"/>
    <mergeCell ref="AG3:AJ3"/>
    <mergeCell ref="AK3:AO3"/>
    <mergeCell ref="AP3:AS3"/>
    <mergeCell ref="AT3:AW3"/>
    <mergeCell ref="AX3:BB3"/>
    <mergeCell ref="A1:AC1"/>
    <mergeCell ref="G3:J3"/>
    <mergeCell ref="K3:N3"/>
    <mergeCell ref="O3:S3"/>
    <mergeCell ref="T3:W3"/>
    <mergeCell ref="X3:AA3"/>
    <mergeCell ref="AB3:AF3"/>
  </mergeCells>
  <conditionalFormatting sqref="G5:BF33">
    <cfRule type="expression" dxfId="56" priority="1">
      <formula>AND($D5="⏸️ POSTPONED",G5=1)</formula>
    </cfRule>
  </conditionalFormatting>
  <conditionalFormatting sqref="G5:BF33">
    <cfRule type="expression" dxfId="55" priority="2">
      <formula>AND(G5=1,ISNUMBER(SEARCH("AT RISK",$D5)))</formula>
    </cfRule>
  </conditionalFormatting>
  <conditionalFormatting sqref="G5:BF33">
    <cfRule type="expression" dxfId="54" priority="3">
      <formula>AND(G5=1,ISNUMBER(SEARCH("ON TRACK",$D5)))</formula>
    </cfRule>
  </conditionalFormatting>
  <conditionalFormatting sqref="G5:BF33">
    <cfRule type="expression" dxfId="53" priority="4">
      <formula>AND(G5=1,ISNUMBER(SEARCH("NOT STARTED",$D5)))</formula>
    </cfRule>
  </conditionalFormatting>
  <conditionalFormatting sqref="G5:BF33">
    <cfRule type="expression" dxfId="52" priority="5">
      <formula>AND(G5=1,ISNUMBER(SEARCH("ON HOLD",$D5)))</formula>
    </cfRule>
  </conditionalFormatting>
  <conditionalFormatting sqref="G5:BF33">
    <cfRule type="expression" priority="6"/>
  </conditionalFormatting>
  <conditionalFormatting sqref="G5:BF23">
    <cfRule type="expression" dxfId="51" priority="10">
      <formula>AND(G5=1,ISNUMBER(SEARCH("NEEDS ATTENTION",$D5)))</formula>
    </cfRule>
  </conditionalFormatting>
  <conditionalFormatting sqref="G5:BF23">
    <cfRule type="expression" dxfId="50" priority="11">
      <formula>AND(G5=1,ISNUMBER(SEARCH("NEEDS TECHNICAL SPEC",$D5)))</formula>
    </cfRule>
  </conditionalFormatting>
  <conditionalFormatting sqref="G5:BF23">
    <cfRule type="expression" dxfId="49" priority="12">
      <formula>AND(G5=1,ISNUMBER(SEARCH("NEEDS FUNCTIONAL SPEC",$D5)))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92F6-C7B8-46D1-985D-4A05FF96441C}">
  <dimension ref="A1:B7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41.85546875" customWidth="1"/>
    <col min="2" max="2" width="95.28515625" customWidth="1"/>
  </cols>
  <sheetData>
    <row r="1" spans="1:2" ht="21">
      <c r="A1" s="216" t="s">
        <v>253</v>
      </c>
      <c r="B1" s="219"/>
    </row>
    <row r="2" spans="1:2">
      <c r="A2" s="220" t="s">
        <v>254</v>
      </c>
      <c r="B2" s="219"/>
    </row>
    <row r="3" spans="1:2">
      <c r="A3" s="221"/>
      <c r="B3" s="219"/>
    </row>
    <row r="4" spans="1:2" ht="35.25" customHeight="1">
      <c r="A4" s="222" t="s">
        <v>255</v>
      </c>
      <c r="B4" s="223"/>
    </row>
    <row r="5" spans="1:2" ht="35.25" customHeight="1">
      <c r="A5" s="224" t="s">
        <v>256</v>
      </c>
      <c r="B5" s="233" t="s">
        <v>257</v>
      </c>
    </row>
    <row r="6" spans="1:2" ht="35.25" customHeight="1">
      <c r="A6" s="224" t="s">
        <v>258</v>
      </c>
      <c r="B6" s="233" t="s">
        <v>259</v>
      </c>
    </row>
    <row r="7" spans="1:2" ht="35.25" customHeight="1">
      <c r="A7" s="224" t="s">
        <v>260</v>
      </c>
      <c r="B7" s="233" t="s">
        <v>261</v>
      </c>
    </row>
    <row r="8" spans="1:2" ht="35.25" customHeight="1">
      <c r="A8" s="224" t="s">
        <v>262</v>
      </c>
      <c r="B8" s="233" t="s">
        <v>263</v>
      </c>
    </row>
    <row r="9" spans="1:2" ht="35.25" customHeight="1">
      <c r="A9" s="224" t="s">
        <v>264</v>
      </c>
      <c r="B9" s="233" t="s">
        <v>265</v>
      </c>
    </row>
    <row r="10" spans="1:2" ht="35.25" customHeight="1">
      <c r="A10" s="225"/>
      <c r="B10" s="233"/>
    </row>
    <row r="11" spans="1:2" ht="35.25" customHeight="1">
      <c r="A11" s="226" t="s">
        <v>266</v>
      </c>
      <c r="B11" s="234"/>
    </row>
    <row r="12" spans="1:2" ht="35.25" customHeight="1">
      <c r="A12" s="225"/>
      <c r="B12" s="233"/>
    </row>
    <row r="13" spans="1:2" ht="35.25" customHeight="1">
      <c r="A13" s="224" t="s">
        <v>267</v>
      </c>
      <c r="B13" s="235" t="s">
        <v>268</v>
      </c>
    </row>
    <row r="14" spans="1:2" ht="35.25" customHeight="1">
      <c r="A14" s="227" t="s">
        <v>269</v>
      </c>
      <c r="B14" s="233" t="s">
        <v>270</v>
      </c>
    </row>
    <row r="15" spans="1:2" ht="35.25" customHeight="1">
      <c r="A15" s="227" t="s">
        <v>271</v>
      </c>
      <c r="B15" s="233" t="s">
        <v>272</v>
      </c>
    </row>
    <row r="16" spans="1:2" ht="35.25" customHeight="1">
      <c r="A16" s="227" t="s">
        <v>273</v>
      </c>
      <c r="B16" s="233" t="s">
        <v>274</v>
      </c>
    </row>
    <row r="17" spans="1:2" ht="35.25" customHeight="1">
      <c r="A17" s="227" t="s">
        <v>275</v>
      </c>
      <c r="B17" s="233" t="s">
        <v>276</v>
      </c>
    </row>
    <row r="18" spans="1:2" ht="35.25" customHeight="1">
      <c r="A18" s="225"/>
      <c r="B18" s="233"/>
    </row>
    <row r="19" spans="1:2" ht="35.25" customHeight="1">
      <c r="A19" s="224" t="s">
        <v>277</v>
      </c>
      <c r="B19" s="235" t="s">
        <v>278</v>
      </c>
    </row>
    <row r="20" spans="1:2" ht="35.25" customHeight="1">
      <c r="A20" s="227" t="s">
        <v>279</v>
      </c>
      <c r="B20" s="233" t="s">
        <v>280</v>
      </c>
    </row>
    <row r="21" spans="1:2" ht="35.25" customHeight="1">
      <c r="A21" s="227" t="s">
        <v>281</v>
      </c>
      <c r="B21" s="233" t="s">
        <v>282</v>
      </c>
    </row>
    <row r="22" spans="1:2" ht="35.25" customHeight="1">
      <c r="A22" s="227" t="s">
        <v>283</v>
      </c>
      <c r="B22" s="233" t="s">
        <v>284</v>
      </c>
    </row>
    <row r="23" spans="1:2" ht="35.25" customHeight="1">
      <c r="A23" s="225"/>
      <c r="B23" s="233"/>
    </row>
    <row r="24" spans="1:2" ht="35.25" customHeight="1">
      <c r="A24" s="224" t="s">
        <v>285</v>
      </c>
      <c r="B24" s="235" t="s">
        <v>286</v>
      </c>
    </row>
    <row r="25" spans="1:2" ht="35.25" customHeight="1">
      <c r="A25" s="227" t="s">
        <v>287</v>
      </c>
      <c r="B25" s="233" t="s">
        <v>288</v>
      </c>
    </row>
    <row r="26" spans="1:2" ht="35.25" customHeight="1">
      <c r="A26" s="227" t="s">
        <v>289</v>
      </c>
      <c r="B26" s="233" t="s">
        <v>290</v>
      </c>
    </row>
    <row r="27" spans="1:2" ht="35.25" customHeight="1">
      <c r="A27" s="227" t="s">
        <v>291</v>
      </c>
      <c r="B27" s="233" t="s">
        <v>292</v>
      </c>
    </row>
    <row r="28" spans="1:2" ht="35.25" customHeight="1">
      <c r="A28" s="225"/>
      <c r="B28" s="233"/>
    </row>
    <row r="29" spans="1:2" ht="35.25" customHeight="1">
      <c r="A29" s="224" t="s">
        <v>293</v>
      </c>
      <c r="B29" s="235" t="s">
        <v>294</v>
      </c>
    </row>
    <row r="30" spans="1:2" ht="35.25" customHeight="1">
      <c r="A30" s="227" t="s">
        <v>295</v>
      </c>
      <c r="B30" s="233" t="s">
        <v>296</v>
      </c>
    </row>
    <row r="31" spans="1:2" ht="35.25" customHeight="1">
      <c r="A31" s="227" t="s">
        <v>297</v>
      </c>
      <c r="B31" s="233" t="s">
        <v>298</v>
      </c>
    </row>
    <row r="32" spans="1:2" ht="35.25" customHeight="1">
      <c r="A32" s="227" t="s">
        <v>299</v>
      </c>
      <c r="B32" s="233" t="s">
        <v>300</v>
      </c>
    </row>
    <row r="33" spans="1:2" ht="35.25" customHeight="1">
      <c r="A33" s="225"/>
      <c r="B33" s="233"/>
    </row>
    <row r="34" spans="1:2" ht="35.25" customHeight="1">
      <c r="A34" s="225"/>
      <c r="B34" s="233"/>
    </row>
    <row r="35" spans="1:2" ht="35.25" customHeight="1">
      <c r="A35" s="226" t="s">
        <v>301</v>
      </c>
      <c r="B35" s="234"/>
    </row>
    <row r="36" spans="1:2" ht="35.25" customHeight="1">
      <c r="A36" s="224" t="s">
        <v>302</v>
      </c>
      <c r="B36" s="233" t="s">
        <v>303</v>
      </c>
    </row>
    <row r="37" spans="1:2" ht="35.25" customHeight="1">
      <c r="A37" s="224" t="s">
        <v>304</v>
      </c>
      <c r="B37" s="233" t="s">
        <v>305</v>
      </c>
    </row>
    <row r="38" spans="1:2" ht="35.25" customHeight="1">
      <c r="A38" s="224" t="s">
        <v>306</v>
      </c>
      <c r="B38" s="233" t="s">
        <v>307</v>
      </c>
    </row>
    <row r="39" spans="1:2" ht="35.25" customHeight="1">
      <c r="A39" s="224" t="s">
        <v>308</v>
      </c>
      <c r="B39" s="233" t="s">
        <v>309</v>
      </c>
    </row>
    <row r="40" spans="1:2" ht="35.25" customHeight="1">
      <c r="A40" s="224" t="s">
        <v>310</v>
      </c>
      <c r="B40" s="233" t="s">
        <v>311</v>
      </c>
    </row>
    <row r="41" spans="1:2" ht="35.25" customHeight="1">
      <c r="A41" s="224" t="s">
        <v>312</v>
      </c>
      <c r="B41" s="233" t="s">
        <v>313</v>
      </c>
    </row>
    <row r="42" spans="1:2" ht="35.25" customHeight="1">
      <c r="A42" s="225"/>
      <c r="B42" s="233"/>
    </row>
    <row r="43" spans="1:2" ht="35.25" customHeight="1">
      <c r="A43" s="225"/>
      <c r="B43" s="233"/>
    </row>
    <row r="44" spans="1:2" ht="35.25" customHeight="1">
      <c r="A44" s="226" t="s">
        <v>314</v>
      </c>
      <c r="B44" s="234"/>
    </row>
    <row r="45" spans="1:2" ht="35.25" customHeight="1">
      <c r="A45" s="228" t="s">
        <v>315</v>
      </c>
      <c r="B45" s="233" t="s">
        <v>316</v>
      </c>
    </row>
    <row r="46" spans="1:2" ht="35.25" customHeight="1">
      <c r="A46" s="229" t="s">
        <v>317</v>
      </c>
      <c r="B46" s="233" t="s">
        <v>318</v>
      </c>
    </row>
    <row r="47" spans="1:2" ht="35.25" customHeight="1">
      <c r="A47" s="230" t="s">
        <v>319</v>
      </c>
      <c r="B47" s="233" t="s">
        <v>320</v>
      </c>
    </row>
    <row r="48" spans="1:2" ht="35.25" customHeight="1">
      <c r="A48" s="231" t="s">
        <v>321</v>
      </c>
      <c r="B48" s="233" t="s">
        <v>322</v>
      </c>
    </row>
    <row r="49" spans="1:2" ht="35.25" customHeight="1">
      <c r="A49" s="225"/>
      <c r="B49" s="233"/>
    </row>
    <row r="50" spans="1:2" ht="35.25" customHeight="1">
      <c r="A50" s="225"/>
      <c r="B50" s="233"/>
    </row>
    <row r="51" spans="1:2" ht="35.25" customHeight="1">
      <c r="A51" s="226" t="s">
        <v>323</v>
      </c>
      <c r="B51" s="234"/>
    </row>
    <row r="52" spans="1:2" ht="35.25" customHeight="1">
      <c r="A52" s="224" t="s">
        <v>324</v>
      </c>
      <c r="B52" s="233" t="s">
        <v>325</v>
      </c>
    </row>
    <row r="53" spans="1:2" ht="35.25" customHeight="1">
      <c r="A53" s="224" t="s">
        <v>326</v>
      </c>
      <c r="B53" s="233" t="s">
        <v>327</v>
      </c>
    </row>
    <row r="54" spans="1:2" ht="35.25" customHeight="1">
      <c r="A54" s="224" t="s">
        <v>328</v>
      </c>
      <c r="B54" s="233" t="s">
        <v>329</v>
      </c>
    </row>
    <row r="55" spans="1:2" ht="35.25" customHeight="1">
      <c r="A55" s="224" t="s">
        <v>330</v>
      </c>
      <c r="B55" s="233" t="s">
        <v>331</v>
      </c>
    </row>
    <row r="56" spans="1:2" ht="35.25" customHeight="1">
      <c r="A56" s="224" t="s">
        <v>332</v>
      </c>
      <c r="B56" s="233" t="s">
        <v>333</v>
      </c>
    </row>
    <row r="57" spans="1:2" ht="35.25" customHeight="1">
      <c r="A57" s="232"/>
      <c r="B57" s="236"/>
    </row>
    <row r="58" spans="1:2" ht="35.25" customHeight="1">
      <c r="A58" s="252" t="s">
        <v>334</v>
      </c>
      <c r="B58" s="235" t="s">
        <v>335</v>
      </c>
    </row>
    <row r="59" spans="1:2" ht="35.25" customHeight="1">
      <c r="A59" s="227" t="s">
        <v>336</v>
      </c>
      <c r="B59" s="233" t="s">
        <v>337</v>
      </c>
    </row>
    <row r="60" spans="1:2" ht="35.25" customHeight="1">
      <c r="A60" s="227" t="s">
        <v>338</v>
      </c>
      <c r="B60" s="233" t="s">
        <v>339</v>
      </c>
    </row>
    <row r="61" spans="1:2" ht="35.25" customHeight="1">
      <c r="A61" s="227" t="s">
        <v>340</v>
      </c>
      <c r="B61" s="233" t="s">
        <v>341</v>
      </c>
    </row>
    <row r="62" spans="1:2" ht="35.25" customHeight="1">
      <c r="A62" s="227" t="s">
        <v>342</v>
      </c>
      <c r="B62" s="233" t="s">
        <v>343</v>
      </c>
    </row>
    <row r="63" spans="1:2" ht="35.25" customHeight="1">
      <c r="A63" s="227" t="s">
        <v>344</v>
      </c>
      <c r="B63" s="233" t="s">
        <v>345</v>
      </c>
    </row>
    <row r="64" spans="1:2" ht="35.25" customHeight="1">
      <c r="A64" s="253"/>
      <c r="B64" s="254"/>
    </row>
    <row r="65" spans="1:2" ht="35.25" customHeight="1">
      <c r="A65" s="232"/>
      <c r="B65" s="236"/>
    </row>
    <row r="66" spans="1:2">
      <c r="B66" s="218"/>
    </row>
    <row r="67" spans="1:2">
      <c r="B67" s="218"/>
    </row>
    <row r="68" spans="1:2">
      <c r="B68" s="218"/>
    </row>
    <row r="69" spans="1:2">
      <c r="B69" s="218"/>
    </row>
    <row r="70" spans="1:2">
      <c r="B70" s="2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8B57"/>
  </sheetPr>
  <dimension ref="A1:AD52"/>
  <sheetViews>
    <sheetView zoomScaleNormal="100" workbookViewId="0">
      <pane xSplit="4" ySplit="4" topLeftCell="E5" activePane="bottomRight" state="frozen"/>
      <selection pane="bottomRight" activeCell="A16" sqref="A16"/>
      <selection pane="bottomLeft" activeCell="A5" sqref="A5"/>
      <selection pane="topRight" activeCell="E1" sqref="E1"/>
    </sheetView>
  </sheetViews>
  <sheetFormatPr defaultColWidth="8.7109375" defaultRowHeight="15" customHeight="1"/>
  <cols>
    <col min="1" max="1" width="22" customWidth="1"/>
    <col min="2" max="2" width="20.42578125" customWidth="1"/>
    <col min="3" max="3" width="20" customWidth="1"/>
    <col min="4" max="4" width="18" customWidth="1"/>
    <col min="5" max="30" width="10" customWidth="1"/>
  </cols>
  <sheetData>
    <row r="1" spans="1:30" ht="30" customHeight="1">
      <c r="A1" s="269" t="s">
        <v>346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  <c r="S1" s="269"/>
      <c r="T1" s="269"/>
      <c r="U1" s="269"/>
      <c r="V1" s="269"/>
      <c r="W1" s="269"/>
      <c r="X1" s="269"/>
      <c r="Y1" s="269"/>
      <c r="Z1" s="269"/>
      <c r="AA1" s="3"/>
      <c r="AB1" s="3"/>
      <c r="AC1" s="3"/>
      <c r="AD1" s="3"/>
    </row>
    <row r="2" spans="1:30" ht="20.25" customHeight="1">
      <c r="A2" s="46" t="s">
        <v>347</v>
      </c>
      <c r="B2" s="47" t="s">
        <v>348</v>
      </c>
      <c r="C2" s="48" t="s">
        <v>349</v>
      </c>
      <c r="D2" s="49" t="s">
        <v>350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5" customHeight="1">
      <c r="A3" s="3"/>
      <c r="B3" s="3"/>
      <c r="C3" s="3"/>
      <c r="D3" s="3"/>
      <c r="E3" s="50" t="s">
        <v>351</v>
      </c>
      <c r="F3" s="50" t="s">
        <v>352</v>
      </c>
      <c r="G3" s="50" t="s">
        <v>353</v>
      </c>
      <c r="H3" s="50" t="s">
        <v>354</v>
      </c>
      <c r="I3" s="50" t="s">
        <v>355</v>
      </c>
      <c r="J3" s="50" t="s">
        <v>356</v>
      </c>
      <c r="K3" s="50" t="s">
        <v>357</v>
      </c>
      <c r="L3" s="50" t="s">
        <v>358</v>
      </c>
      <c r="M3" s="50" t="s">
        <v>359</v>
      </c>
      <c r="N3" s="50" t="s">
        <v>360</v>
      </c>
      <c r="O3" s="50" t="s">
        <v>361</v>
      </c>
      <c r="P3" s="50" t="s">
        <v>362</v>
      </c>
      <c r="Q3" s="50" t="s">
        <v>363</v>
      </c>
      <c r="R3" s="50" t="s">
        <v>364</v>
      </c>
      <c r="S3" s="50" t="s">
        <v>365</v>
      </c>
      <c r="T3" s="50" t="s">
        <v>366</v>
      </c>
      <c r="U3" s="50" t="s">
        <v>367</v>
      </c>
      <c r="V3" s="50" t="s">
        <v>368</v>
      </c>
      <c r="W3" s="50" t="s">
        <v>369</v>
      </c>
      <c r="X3" s="50" t="s">
        <v>370</v>
      </c>
      <c r="Y3" s="50" t="s">
        <v>371</v>
      </c>
      <c r="Z3" s="50" t="s">
        <v>372</v>
      </c>
      <c r="AA3" s="50" t="s">
        <v>373</v>
      </c>
      <c r="AB3" s="50" t="s">
        <v>374</v>
      </c>
      <c r="AC3" s="50" t="s">
        <v>375</v>
      </c>
      <c r="AD3" s="50" t="s">
        <v>376</v>
      </c>
    </row>
    <row r="4" spans="1:30" ht="26.25" customHeight="1">
      <c r="A4" s="4" t="s">
        <v>53</v>
      </c>
      <c r="B4" s="4" t="s">
        <v>54</v>
      </c>
      <c r="C4" s="4" t="s">
        <v>12</v>
      </c>
      <c r="D4" s="4" t="s">
        <v>377</v>
      </c>
      <c r="E4" s="51">
        <v>46023</v>
      </c>
      <c r="F4" s="51">
        <f>E4+7</f>
        <v>46030</v>
      </c>
      <c r="G4" s="51">
        <f t="shared" ref="G4:AD4" si="0">F4+7</f>
        <v>46037</v>
      </c>
      <c r="H4" s="51">
        <f t="shared" si="0"/>
        <v>46044</v>
      </c>
      <c r="I4" s="51">
        <f t="shared" si="0"/>
        <v>46051</v>
      </c>
      <c r="J4" s="51">
        <f t="shared" si="0"/>
        <v>46058</v>
      </c>
      <c r="K4" s="51">
        <f t="shared" si="0"/>
        <v>46065</v>
      </c>
      <c r="L4" s="51">
        <f t="shared" si="0"/>
        <v>46072</v>
      </c>
      <c r="M4" s="51">
        <f t="shared" si="0"/>
        <v>46079</v>
      </c>
      <c r="N4" s="51">
        <f t="shared" si="0"/>
        <v>46086</v>
      </c>
      <c r="O4" s="51">
        <f t="shared" si="0"/>
        <v>46093</v>
      </c>
      <c r="P4" s="51">
        <f t="shared" si="0"/>
        <v>46100</v>
      </c>
      <c r="Q4" s="51">
        <f t="shared" si="0"/>
        <v>46107</v>
      </c>
      <c r="R4" s="51">
        <f t="shared" si="0"/>
        <v>46114</v>
      </c>
      <c r="S4" s="51">
        <f t="shared" si="0"/>
        <v>46121</v>
      </c>
      <c r="T4" s="51">
        <f t="shared" si="0"/>
        <v>46128</v>
      </c>
      <c r="U4" s="51">
        <f t="shared" si="0"/>
        <v>46135</v>
      </c>
      <c r="V4" s="51">
        <f t="shared" si="0"/>
        <v>46142</v>
      </c>
      <c r="W4" s="51">
        <f t="shared" si="0"/>
        <v>46149</v>
      </c>
      <c r="X4" s="51">
        <f t="shared" si="0"/>
        <v>46156</v>
      </c>
      <c r="Y4" s="51">
        <f t="shared" si="0"/>
        <v>46163</v>
      </c>
      <c r="Z4" s="51">
        <f t="shared" si="0"/>
        <v>46170</v>
      </c>
      <c r="AA4" s="51">
        <f t="shared" si="0"/>
        <v>46177</v>
      </c>
      <c r="AB4" s="51">
        <f t="shared" si="0"/>
        <v>46184</v>
      </c>
      <c r="AC4" s="51">
        <f t="shared" si="0"/>
        <v>46191</v>
      </c>
      <c r="AD4" s="51">
        <f t="shared" si="0"/>
        <v>46198</v>
      </c>
    </row>
    <row r="5" spans="1:30" ht="15" customHeight="1">
      <c r="A5" s="11" t="s">
        <v>63</v>
      </c>
      <c r="B5" s="11" t="s">
        <v>64</v>
      </c>
      <c r="C5" s="11" t="s">
        <v>66</v>
      </c>
      <c r="D5" s="15">
        <f>'Team Roster'!K4</f>
        <v>21</v>
      </c>
      <c r="E5" s="82" cm="1">
        <f t="array" ref="E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Portfolio'!$I$4:$I$42&lt;=E$4+6)*('Project Portfolio'!$J$4:$J$42&gt;=E$4)*('Project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  <c r="F5" s="82" cm="1">
        <f t="array" ref="F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Portfolio'!$I$4:$I$42&lt;=F$4+6)*('Project Portfolio'!$J$4:$J$42&gt;=F$4)*('Project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  <c r="G5" s="82" cm="1">
        <f t="array" ref="G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Portfolio'!$I$4:$I$42&lt;=G$4+6)*('Project Portfolio'!$J$4:$J$42&gt;=G$4)*('Project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  <c r="H5" s="82" cm="1">
        <f t="array" ref="H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Portfolio'!$I$4:$I$42&lt;=H$4+6)*('Project Portfolio'!$J$4:$J$42&gt;=H$4)*('Project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  <c r="I5" s="82" cm="1">
        <f t="array" ref="I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Portfolio'!$I$4:$I$42&lt;=I$4+6)*('Project Portfolio'!$J$4:$J$42&gt;=I$4)*('Project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  <c r="J5" s="82" cm="1">
        <f t="array" ref="J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Portfolio'!$I$4:$I$42&lt;=J$4+6)*('Project Portfolio'!$J$4:$J$42&gt;=J$4)*('Project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  <c r="K5" s="82" cm="1">
        <f t="array" ref="K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Portfolio'!$I$4:$I$42&lt;=K$4+6)*('Project Portfolio'!$J$4:$J$42&gt;=K$4)*('Project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  <c r="L5" s="82" cm="1">
        <f t="array" ref="L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Portfolio'!$I$4:$I$42&lt;=L$4+6)*('Project Portfolio'!$J$4:$J$42&gt;=L$4)*('Project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0.17857142857142858</v>
      </c>
      <c r="M5" s="82" cm="1">
        <f t="array" ref="M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Portfolio'!$I$4:$I$42&lt;=M$4+6)*('Project Portfolio'!$J$4:$J$42&gt;=M$4)*('Project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0.17857142857142858</v>
      </c>
      <c r="N5" s="82" cm="1">
        <f t="array" ref="N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Portfolio'!$I$4:$I$42&lt;=N$4+6)*('Project Portfolio'!$J$4:$J$42&gt;=N$4)*('Project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0.17857142857142858</v>
      </c>
      <c r="O5" s="82" cm="1">
        <f t="array" ref="O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Portfolio'!$I$4:$I$42&lt;=O$4+6)*('Project Portfolio'!$J$4:$J$42&gt;=O$4)*('Project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0.17857142857142858</v>
      </c>
      <c r="P5" s="82" cm="1">
        <f t="array" ref="P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Portfolio'!$I$4:$I$42&lt;=P$4+6)*('Project Portfolio'!$J$4:$J$42&gt;=P$4)*('Project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0.17857142857142858</v>
      </c>
      <c r="Q5" s="82" cm="1">
        <f t="array" ref="Q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Portfolio'!$I$4:$I$42&lt;=Q$4+6)*('Project Portfolio'!$J$4:$J$42&gt;=Q$4)*('Project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0.17857142857142858</v>
      </c>
      <c r="R5" s="82" cm="1">
        <f t="array" ref="R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Portfolio'!$I$4:$I$42&lt;=R$4+6)*('Project Portfolio'!$J$4:$J$42&gt;=R$4)*('Project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0.17857142857142858</v>
      </c>
      <c r="S5" s="82" cm="1">
        <f t="array" ref="S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Portfolio'!$I$4:$I$42&lt;=S$4+6)*('Project Portfolio'!$J$4:$J$42&gt;=S$4)*('Project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0.17857142857142858</v>
      </c>
      <c r="T5" s="82" cm="1">
        <f t="array" ref="T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Portfolio'!$I$4:$I$42&lt;=T$4+6)*('Project Portfolio'!$J$4:$J$42&gt;=T$4)*('Project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0.17857142857142858</v>
      </c>
      <c r="U5" s="82" cm="1">
        <f t="array" ref="U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Portfolio'!$I$4:$I$42&lt;=U$4+6)*('Project Portfolio'!$J$4:$J$42&gt;=U$4)*('Project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  <c r="V5" s="82" cm="1">
        <f t="array" ref="V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Portfolio'!$I$4:$I$42&lt;=V$4+6)*('Project Portfolio'!$J$4:$J$42&gt;=V$4)*('Project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  <c r="W5" s="82" cm="1">
        <f t="array" ref="W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Portfolio'!$I$4:$I$42&lt;=W$4+6)*('Project Portfolio'!$J$4:$J$42&gt;=W$4)*('Project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  <c r="X5" s="82" cm="1">
        <f t="array" ref="X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Portfolio'!$I$4:$I$42&lt;=X$4+6)*('Project Portfolio'!$J$4:$J$42&gt;=X$4)*('Project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  <c r="Y5" s="82" cm="1">
        <f t="array" ref="Y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Portfolio'!$I$4:$I$42&lt;=Y$4+6)*('Project Portfolio'!$J$4:$J$42&gt;=Y$4)*('Project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  <c r="Z5" s="82" cm="1">
        <f t="array" ref="Z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Portfolio'!$I$4:$I$42&lt;=Z$4+6)*('Project Portfolio'!$J$4:$J$42&gt;=Z$4)*('Project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  <c r="AA5" s="82" cm="1">
        <f t="array" ref="AA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Portfolio'!$I$4:$I$42&lt;=AA$4+6)*('Project Portfolio'!$J$4:$J$42&gt;=AA$4)*('Project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  <c r="AB5" s="82" cm="1">
        <f t="array" ref="AB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Portfolio'!$I$4:$I$42&lt;=AB$4+6)*('Project Portfolio'!$J$4:$J$42&gt;=AB$4)*('Project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  <c r="AC5" s="82" cm="1">
        <f t="array" ref="AC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Portfolio'!$I$4:$I$42&lt;=AC$4+6)*('Project Portfolio'!$J$4:$J$42&gt;=AC$4)*('Project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  <c r="AD5" s="82" cm="1">
        <f t="array" ref="AD5">IFERROR(SUMPRODUCT(('Project Portfolio'!$F$4:$F$42&lt;&gt;"✅ COMPLETE")*(('Project Portfolio'!$M$4:$M$42=$A5)+('Project Portfolio'!$N$4:$N$42=$A5)+('Project Portfolio'!$O$4:$O$42=$A5)+('Project Portfolio'!$P$4:$P$42=$A5)&gt;0)*('Project Portfolio'!$I$4:$I$42&gt;0)*('Project Portfolio'!$J$4:$J$42&gt;0)*('Project Portfolio'!$I$4:$I$42&lt;=AD$4+6)*('Project Portfolio'!$J$4:$J$42&gt;=AD$4)*('Project Portfolio'!$R$4:$R$42*IF($B5="Business Analyst",'Project Portfolio'!$T$4:$T$42,IF($B5="Functional",'Project Portfolio'!$U$4:$U$42,IF($B5="Technical",'Project Portfolio'!$V$4:$V$42,IF($B5="Developer",'Project Portfolio'!$W$4:$W$42,IF($B5="Infrastructure",'Project Portfolio'!$X$4:$X$42,IF($B5="DBA",'Project Portfolio'!$Y$4:$Y$42,IF($B5="Project Manager",'Project Portfolio'!$Z$4:$Z$42,IF($B5="WMS Consultant",'Project Portfolio'!$AA$4:$AA$42,0))))))))/IF(INT(('Project Portfolio'!$J$4:$J$42-'Project Portfolio'!$I$4:$I$42)/7+1)&gt;0,INT(('Project Portfolio'!$J$4:$J$42-'Project Portfolio'!$I$4:$I$42)/7+1),1)))/$D5,0)</f>
        <v>0</v>
      </c>
    </row>
    <row r="6" spans="1:30" ht="15" customHeight="1">
      <c r="A6" s="18" t="s">
        <v>68</v>
      </c>
      <c r="B6" s="18" t="s">
        <v>69</v>
      </c>
      <c r="C6" s="18" t="s">
        <v>66</v>
      </c>
      <c r="D6" s="22">
        <f>'Team Roster'!K5</f>
        <v>21</v>
      </c>
      <c r="E6" s="83" cm="1">
        <f t="array" ref="E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Portfolio'!$I$4:$I$42&lt;=E$4+6)*('Project Portfolio'!$J$4:$J$42&gt;=E$4)*('Project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F6" s="83" cm="1">
        <f t="array" ref="F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Portfolio'!$I$4:$I$42&lt;=F$4+6)*('Project Portfolio'!$J$4:$J$42&gt;=F$4)*('Project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G6" s="83" cm="1">
        <f t="array" ref="G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Portfolio'!$I$4:$I$42&lt;=G$4+6)*('Project Portfolio'!$J$4:$J$42&gt;=G$4)*('Project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H6" s="83" cm="1">
        <f t="array" ref="H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Portfolio'!$I$4:$I$42&lt;=H$4+6)*('Project Portfolio'!$J$4:$J$42&gt;=H$4)*('Project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I6" s="83" cm="1">
        <f t="array" ref="I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Portfolio'!$I$4:$I$42&lt;=I$4+6)*('Project Portfolio'!$J$4:$J$42&gt;=I$4)*('Project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J6" s="83" cm="1">
        <f t="array" ref="J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Portfolio'!$I$4:$I$42&lt;=J$4+6)*('Project Portfolio'!$J$4:$J$42&gt;=J$4)*('Project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K6" s="83" cm="1">
        <f t="array" ref="K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Portfolio'!$I$4:$I$42&lt;=K$4+6)*('Project Portfolio'!$J$4:$J$42&gt;=K$4)*('Project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L6" s="83" cm="1">
        <f t="array" ref="L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Portfolio'!$I$4:$I$42&lt;=L$4+6)*('Project Portfolio'!$J$4:$J$42&gt;=L$4)*('Project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M6" s="83" cm="1">
        <f t="array" ref="M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Portfolio'!$I$4:$I$42&lt;=M$4+6)*('Project Portfolio'!$J$4:$J$42&gt;=M$4)*('Project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N6" s="83" cm="1">
        <f t="array" ref="N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Portfolio'!$I$4:$I$42&lt;=N$4+6)*('Project Portfolio'!$J$4:$J$42&gt;=N$4)*('Project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O6" s="83" cm="1">
        <f t="array" ref="O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Portfolio'!$I$4:$I$42&lt;=O$4+6)*('Project Portfolio'!$J$4:$J$42&gt;=O$4)*('Project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P6" s="83" cm="1">
        <f t="array" ref="P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Portfolio'!$I$4:$I$42&lt;=P$4+6)*('Project Portfolio'!$J$4:$J$42&gt;=P$4)*('Project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Q6" s="83" cm="1">
        <f t="array" ref="Q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Portfolio'!$I$4:$I$42&lt;=Q$4+6)*('Project Portfolio'!$J$4:$J$42&gt;=Q$4)*('Project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R6" s="83" cm="1">
        <f t="array" ref="R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Portfolio'!$I$4:$I$42&lt;=R$4+6)*('Project Portfolio'!$J$4:$J$42&gt;=R$4)*('Project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S6" s="83" cm="1">
        <f t="array" ref="S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Portfolio'!$I$4:$I$42&lt;=S$4+6)*('Project Portfolio'!$J$4:$J$42&gt;=S$4)*('Project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T6" s="83" cm="1">
        <f t="array" ref="T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Portfolio'!$I$4:$I$42&lt;=T$4+6)*('Project Portfolio'!$J$4:$J$42&gt;=T$4)*('Project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U6" s="83" cm="1">
        <f t="array" ref="U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Portfolio'!$I$4:$I$42&lt;=U$4+6)*('Project Portfolio'!$J$4:$J$42&gt;=U$4)*('Project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V6" s="83" cm="1">
        <f t="array" ref="V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Portfolio'!$I$4:$I$42&lt;=V$4+6)*('Project Portfolio'!$J$4:$J$42&gt;=V$4)*('Project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W6" s="83" cm="1">
        <f t="array" ref="W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Portfolio'!$I$4:$I$42&lt;=W$4+6)*('Project Portfolio'!$J$4:$J$42&gt;=W$4)*('Project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X6" s="83" cm="1">
        <f t="array" ref="X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Portfolio'!$I$4:$I$42&lt;=X$4+6)*('Project Portfolio'!$J$4:$J$42&gt;=X$4)*('Project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Y6" s="83" cm="1">
        <f t="array" ref="Y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Portfolio'!$I$4:$I$42&lt;=Y$4+6)*('Project Portfolio'!$J$4:$J$42&gt;=Y$4)*('Project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Z6" s="83" cm="1">
        <f t="array" ref="Z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Portfolio'!$I$4:$I$42&lt;=Z$4+6)*('Project Portfolio'!$J$4:$J$42&gt;=Z$4)*('Project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AA6" s="83" cm="1">
        <f t="array" ref="AA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Portfolio'!$I$4:$I$42&lt;=AA$4+6)*('Project Portfolio'!$J$4:$J$42&gt;=AA$4)*('Project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AB6" s="83" cm="1">
        <f t="array" ref="AB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Portfolio'!$I$4:$I$42&lt;=AB$4+6)*('Project Portfolio'!$J$4:$J$42&gt;=AB$4)*('Project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AC6" s="83" cm="1">
        <f t="array" ref="AC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Portfolio'!$I$4:$I$42&lt;=AC$4+6)*('Project Portfolio'!$J$4:$J$42&gt;=AC$4)*('Project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  <c r="AD6" s="83" cm="1">
        <f t="array" ref="AD6">IFERROR(SUMPRODUCT(('Project Portfolio'!$F$4:$F$42&lt;&gt;"✅ COMPLETE")*(('Project Portfolio'!$M$4:$M$42=$A6)+('Project Portfolio'!$N$4:$N$42=$A6)+('Project Portfolio'!$O$4:$O$42=$A6)+('Project Portfolio'!$P$4:$P$42=$A6)&gt;0)*('Project Portfolio'!$I$4:$I$42&gt;0)*('Project Portfolio'!$J$4:$J$42&gt;0)*('Project Portfolio'!$I$4:$I$42&lt;=AD$4+6)*('Project Portfolio'!$J$4:$J$42&gt;=AD$4)*('Project Portfolio'!$R$4:$R$42*IF($B6="Business Analyst",'Project Portfolio'!$T$4:$T$42,IF($B6="Functional",'Project Portfolio'!$U$4:$U$42,IF($B6="Technical",'Project Portfolio'!$V$4:$V$42,IF($B6="Developer",'Project Portfolio'!$W$4:$W$42,IF($B6="Infrastructure",'Project Portfolio'!$X$4:$X$42,IF($B6="DBA",'Project Portfolio'!$Y$4:$Y$42,IF($B6="Project Manager",'Project Portfolio'!$Z$4:$Z$42,IF($B6="WMS Consultant",'Project Portfolio'!$AA$4:$AA$42,0))))))))/IF(INT(('Project Portfolio'!$J$4:$J$42-'Project Portfolio'!$I$4:$I$42)/7+1)&gt;0,INT(('Project Portfolio'!$J$4:$J$42-'Project Portfolio'!$I$4:$I$42)/7+1),1)))/$D6,0)</f>
        <v>0</v>
      </c>
    </row>
    <row r="7" spans="1:30" ht="15" customHeight="1">
      <c r="A7" s="11" t="s">
        <v>70</v>
      </c>
      <c r="B7" s="11" t="s">
        <v>69</v>
      </c>
      <c r="C7" s="11" t="s">
        <v>66</v>
      </c>
      <c r="D7" s="15">
        <f>'Team Roster'!K6</f>
        <v>21</v>
      </c>
      <c r="E7" s="82" cm="1">
        <f t="array" ref="E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Portfolio'!$I$4:$I$42&lt;=E$4+6)*('Project Portfolio'!$J$4:$J$42&gt;=E$4)*('Project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F7" s="82" cm="1">
        <f t="array" ref="F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Portfolio'!$I$4:$I$42&lt;=F$4+6)*('Project Portfolio'!$J$4:$J$42&gt;=F$4)*('Project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G7" s="82" cm="1">
        <f t="array" ref="G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Portfolio'!$I$4:$I$42&lt;=G$4+6)*('Project Portfolio'!$J$4:$J$42&gt;=G$4)*('Project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H7" s="82" cm="1">
        <f t="array" ref="H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Portfolio'!$I$4:$I$42&lt;=H$4+6)*('Project Portfolio'!$J$4:$J$42&gt;=H$4)*('Project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I7" s="82" cm="1">
        <f t="array" ref="I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Portfolio'!$I$4:$I$42&lt;=I$4+6)*('Project Portfolio'!$J$4:$J$42&gt;=I$4)*('Project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J7" s="82" cm="1">
        <f t="array" ref="J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Portfolio'!$I$4:$I$42&lt;=J$4+6)*('Project Portfolio'!$J$4:$J$42&gt;=J$4)*('Project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K7" s="82" cm="1">
        <f t="array" ref="K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Portfolio'!$I$4:$I$42&lt;=K$4+6)*('Project Portfolio'!$J$4:$J$42&gt;=K$4)*('Project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L7" s="82" cm="1">
        <f t="array" ref="L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Portfolio'!$I$4:$I$42&lt;=L$4+6)*('Project Portfolio'!$J$4:$J$42&gt;=L$4)*('Project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M7" s="82" cm="1">
        <f t="array" ref="M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Portfolio'!$I$4:$I$42&lt;=M$4+6)*('Project Portfolio'!$J$4:$J$42&gt;=M$4)*('Project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N7" s="82" cm="1">
        <f t="array" ref="N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Portfolio'!$I$4:$I$42&lt;=N$4+6)*('Project Portfolio'!$J$4:$J$42&gt;=N$4)*('Project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O7" s="82" cm="1">
        <f t="array" ref="O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Portfolio'!$I$4:$I$42&lt;=O$4+6)*('Project Portfolio'!$J$4:$J$42&gt;=O$4)*('Project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P7" s="82" cm="1">
        <f t="array" ref="P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Portfolio'!$I$4:$I$42&lt;=P$4+6)*('Project Portfolio'!$J$4:$J$42&gt;=P$4)*('Project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Q7" s="82" cm="1">
        <f t="array" ref="Q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Portfolio'!$I$4:$I$42&lt;=Q$4+6)*('Project Portfolio'!$J$4:$J$42&gt;=Q$4)*('Project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R7" s="82" cm="1">
        <f t="array" ref="R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Portfolio'!$I$4:$I$42&lt;=R$4+6)*('Project Portfolio'!$J$4:$J$42&gt;=R$4)*('Project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S7" s="82" cm="1">
        <f t="array" ref="S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Portfolio'!$I$4:$I$42&lt;=S$4+6)*('Project Portfolio'!$J$4:$J$42&gt;=S$4)*('Project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T7" s="82" cm="1">
        <f t="array" ref="T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Portfolio'!$I$4:$I$42&lt;=T$4+6)*('Project Portfolio'!$J$4:$J$42&gt;=T$4)*('Project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U7" s="82" cm="1">
        <f t="array" ref="U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Portfolio'!$I$4:$I$42&lt;=U$4+6)*('Project Portfolio'!$J$4:$J$42&gt;=U$4)*('Project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V7" s="82" cm="1">
        <f t="array" ref="V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Portfolio'!$I$4:$I$42&lt;=V$4+6)*('Project Portfolio'!$J$4:$J$42&gt;=V$4)*('Project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W7" s="82" cm="1">
        <f t="array" ref="W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Portfolio'!$I$4:$I$42&lt;=W$4+6)*('Project Portfolio'!$J$4:$J$42&gt;=W$4)*('Project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X7" s="82" cm="1">
        <f t="array" ref="X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Portfolio'!$I$4:$I$42&lt;=X$4+6)*('Project Portfolio'!$J$4:$J$42&gt;=X$4)*('Project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Y7" s="82" cm="1">
        <f t="array" ref="Y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Portfolio'!$I$4:$I$42&lt;=Y$4+6)*('Project Portfolio'!$J$4:$J$42&gt;=Y$4)*('Project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Z7" s="82" cm="1">
        <f t="array" ref="Z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Portfolio'!$I$4:$I$42&lt;=Z$4+6)*('Project Portfolio'!$J$4:$J$42&gt;=Z$4)*('Project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AA7" s="82" cm="1">
        <f t="array" ref="AA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Portfolio'!$I$4:$I$42&lt;=AA$4+6)*('Project Portfolio'!$J$4:$J$42&gt;=AA$4)*('Project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AB7" s="82" cm="1">
        <f t="array" ref="AB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Portfolio'!$I$4:$I$42&lt;=AB$4+6)*('Project Portfolio'!$J$4:$J$42&gt;=AB$4)*('Project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AC7" s="82" cm="1">
        <f t="array" ref="AC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Portfolio'!$I$4:$I$42&lt;=AC$4+6)*('Project Portfolio'!$J$4:$J$42&gt;=AC$4)*('Project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  <c r="AD7" s="82" cm="1">
        <f t="array" ref="AD7">IFERROR(SUMPRODUCT(('Project Portfolio'!$F$4:$F$42&lt;&gt;"✅ COMPLETE")*(('Project Portfolio'!$M$4:$M$42=$A7)+('Project Portfolio'!$N$4:$N$42=$A7)+('Project Portfolio'!$O$4:$O$42=$A7)+('Project Portfolio'!$P$4:$P$42=$A7)&gt;0)*('Project Portfolio'!$I$4:$I$42&gt;0)*('Project Portfolio'!$J$4:$J$42&gt;0)*('Project Portfolio'!$I$4:$I$42&lt;=AD$4+6)*('Project Portfolio'!$J$4:$J$42&gt;=AD$4)*('Project Portfolio'!$R$4:$R$42*IF($B7="Business Analyst",'Project Portfolio'!$T$4:$T$42,IF($B7="Functional",'Project Portfolio'!$U$4:$U$42,IF($B7="Technical",'Project Portfolio'!$V$4:$V$42,IF($B7="Developer",'Project Portfolio'!$W$4:$W$42,IF($B7="Infrastructure",'Project Portfolio'!$X$4:$X$42,IF($B7="DBA",'Project Portfolio'!$Y$4:$Y$42,IF($B7="Project Manager",'Project Portfolio'!$Z$4:$Z$42,IF($B7="WMS Consultant",'Project Portfolio'!$AA$4:$AA$42,0))))))))/IF(INT(('Project Portfolio'!$J$4:$J$42-'Project Portfolio'!$I$4:$I$42)/7+1)&gt;0,INT(('Project Portfolio'!$J$4:$J$42-'Project Portfolio'!$I$4:$I$42)/7+1),1)))/$D7,0)</f>
        <v>0</v>
      </c>
    </row>
    <row r="8" spans="1:30" ht="15" customHeight="1">
      <c r="A8" s="18" t="s">
        <v>71</v>
      </c>
      <c r="B8" s="18" t="s">
        <v>64</v>
      </c>
      <c r="C8" s="18" t="s">
        <v>66</v>
      </c>
      <c r="D8" s="22">
        <f>'Team Roster'!K7</f>
        <v>21</v>
      </c>
      <c r="E8" s="83" cm="1">
        <f t="array" ref="E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Portfolio'!$I$4:$I$42&lt;=E$4+6)*('Project Portfolio'!$J$4:$J$42&gt;=E$4)*('Project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F8" s="83" cm="1">
        <f t="array" ref="F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Portfolio'!$I$4:$I$42&lt;=F$4+6)*('Project Portfolio'!$J$4:$J$42&gt;=F$4)*('Project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G8" s="83" cm="1">
        <f t="array" ref="G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Portfolio'!$I$4:$I$42&lt;=G$4+6)*('Project Portfolio'!$J$4:$J$42&gt;=G$4)*('Project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H8" s="83" cm="1">
        <f t="array" ref="H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Portfolio'!$I$4:$I$42&lt;=H$4+6)*('Project Portfolio'!$J$4:$J$42&gt;=H$4)*('Project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I8" s="83" cm="1">
        <f t="array" ref="I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Portfolio'!$I$4:$I$42&lt;=I$4+6)*('Project Portfolio'!$J$4:$J$42&gt;=I$4)*('Project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J8" s="83" cm="1">
        <f t="array" ref="J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Portfolio'!$I$4:$I$42&lt;=J$4+6)*('Project Portfolio'!$J$4:$J$42&gt;=J$4)*('Project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K8" s="83" cm="1">
        <f t="array" ref="K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Portfolio'!$I$4:$I$42&lt;=K$4+6)*('Project Portfolio'!$J$4:$J$42&gt;=K$4)*('Project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L8" s="83" cm="1">
        <f t="array" ref="L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Portfolio'!$I$4:$I$42&lt;=L$4+6)*('Project Portfolio'!$J$4:$J$42&gt;=L$4)*('Project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M8" s="83" cm="1">
        <f t="array" ref="M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Portfolio'!$I$4:$I$42&lt;=M$4+6)*('Project Portfolio'!$J$4:$J$42&gt;=M$4)*('Project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N8" s="83" cm="1">
        <f t="array" ref="N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Portfolio'!$I$4:$I$42&lt;=N$4+6)*('Project Portfolio'!$J$4:$J$42&gt;=N$4)*('Project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O8" s="83" cm="1">
        <f t="array" ref="O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Portfolio'!$I$4:$I$42&lt;=O$4+6)*('Project Portfolio'!$J$4:$J$42&gt;=O$4)*('Project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P8" s="83" cm="1">
        <f t="array" ref="P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Portfolio'!$I$4:$I$42&lt;=P$4+6)*('Project Portfolio'!$J$4:$J$42&gt;=P$4)*('Project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Q8" s="83" cm="1">
        <f t="array" ref="Q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Portfolio'!$I$4:$I$42&lt;=Q$4+6)*('Project Portfolio'!$J$4:$J$42&gt;=Q$4)*('Project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R8" s="83" cm="1">
        <f t="array" ref="R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Portfolio'!$I$4:$I$42&lt;=R$4+6)*('Project Portfolio'!$J$4:$J$42&gt;=R$4)*('Project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S8" s="83" cm="1">
        <f t="array" ref="S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Portfolio'!$I$4:$I$42&lt;=S$4+6)*('Project Portfolio'!$J$4:$J$42&gt;=S$4)*('Project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T8" s="83" cm="1">
        <f t="array" ref="T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Portfolio'!$I$4:$I$42&lt;=T$4+6)*('Project Portfolio'!$J$4:$J$42&gt;=T$4)*('Project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U8" s="83" cm="1">
        <f t="array" ref="U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Portfolio'!$I$4:$I$42&lt;=U$4+6)*('Project Portfolio'!$J$4:$J$42&gt;=U$4)*('Project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V8" s="83" cm="1">
        <f t="array" ref="V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Portfolio'!$I$4:$I$42&lt;=V$4+6)*('Project Portfolio'!$J$4:$J$42&gt;=V$4)*('Project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W8" s="83" cm="1">
        <f t="array" ref="W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Portfolio'!$I$4:$I$42&lt;=W$4+6)*('Project Portfolio'!$J$4:$J$42&gt;=W$4)*('Project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X8" s="83" cm="1">
        <f t="array" ref="X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Portfolio'!$I$4:$I$42&lt;=X$4+6)*('Project Portfolio'!$J$4:$J$42&gt;=X$4)*('Project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Y8" s="83" cm="1">
        <f t="array" ref="Y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Portfolio'!$I$4:$I$42&lt;=Y$4+6)*('Project Portfolio'!$J$4:$J$42&gt;=Y$4)*('Project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Z8" s="83" cm="1">
        <f t="array" ref="Z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Portfolio'!$I$4:$I$42&lt;=Z$4+6)*('Project Portfolio'!$J$4:$J$42&gt;=Z$4)*('Project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AA8" s="83" cm="1">
        <f t="array" ref="AA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Portfolio'!$I$4:$I$42&lt;=AA$4+6)*('Project Portfolio'!$J$4:$J$42&gt;=AA$4)*('Project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AB8" s="83" cm="1">
        <f t="array" ref="AB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Portfolio'!$I$4:$I$42&lt;=AB$4+6)*('Project Portfolio'!$J$4:$J$42&gt;=AB$4)*('Project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AC8" s="83" cm="1">
        <f t="array" ref="AC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Portfolio'!$I$4:$I$42&lt;=AC$4+6)*('Project Portfolio'!$J$4:$J$42&gt;=AC$4)*('Project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  <c r="AD8" s="83" cm="1">
        <f t="array" ref="AD8">IFERROR(SUMPRODUCT(('Project Portfolio'!$F$4:$F$42&lt;&gt;"✅ COMPLETE")*(('Project Portfolio'!$M$4:$M$42=$A8)+('Project Portfolio'!$N$4:$N$42=$A8)+('Project Portfolio'!$O$4:$O$42=$A8)+('Project Portfolio'!$P$4:$P$42=$A8)&gt;0)*('Project Portfolio'!$I$4:$I$42&gt;0)*('Project Portfolio'!$J$4:$J$42&gt;0)*('Project Portfolio'!$I$4:$I$42&lt;=AD$4+6)*('Project Portfolio'!$J$4:$J$42&gt;=AD$4)*('Project Portfolio'!$R$4:$R$42*IF($B8="Business Analyst",'Project Portfolio'!$T$4:$T$42,IF($B8="Functional",'Project Portfolio'!$U$4:$U$42,IF($B8="Technical",'Project Portfolio'!$V$4:$V$42,IF($B8="Developer",'Project Portfolio'!$W$4:$W$42,IF($B8="Infrastructure",'Project Portfolio'!$X$4:$X$42,IF($B8="DBA",'Project Portfolio'!$Y$4:$Y$42,IF($B8="Project Manager",'Project Portfolio'!$Z$4:$Z$42,IF($B8="WMS Consultant",'Project Portfolio'!$AA$4:$AA$42,0))))))))/IF(INT(('Project Portfolio'!$J$4:$J$42-'Project Portfolio'!$I$4:$I$42)/7+1)&gt;0,INT(('Project Portfolio'!$J$4:$J$42-'Project Portfolio'!$I$4:$I$42)/7+1),1)))/$D8,0)</f>
        <v>0</v>
      </c>
    </row>
    <row r="9" spans="1:30" ht="15" customHeight="1">
      <c r="A9" s="11" t="s">
        <v>72</v>
      </c>
      <c r="B9" s="11" t="s">
        <v>69</v>
      </c>
      <c r="C9" s="11" t="s">
        <v>66</v>
      </c>
      <c r="D9" s="15">
        <f>'Team Roster'!K8</f>
        <v>35</v>
      </c>
      <c r="E9" s="82" cm="1">
        <f t="array" ref="E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Portfolio'!$I$4:$I$42&lt;=E$4+6)*('Project Portfolio'!$J$4:$J$42&gt;=E$4)*('Project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F9" s="82" cm="1">
        <f t="array" ref="F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Portfolio'!$I$4:$I$42&lt;=F$4+6)*('Project Portfolio'!$J$4:$J$42&gt;=F$4)*('Project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G9" s="82" cm="1">
        <f t="array" ref="G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Portfolio'!$I$4:$I$42&lt;=G$4+6)*('Project Portfolio'!$J$4:$J$42&gt;=G$4)*('Project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H9" s="82" cm="1">
        <f t="array" ref="H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Portfolio'!$I$4:$I$42&lt;=H$4+6)*('Project Portfolio'!$J$4:$J$42&gt;=H$4)*('Project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I9" s="82" cm="1">
        <f t="array" ref="I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Portfolio'!$I$4:$I$42&lt;=I$4+6)*('Project Portfolio'!$J$4:$J$42&gt;=I$4)*('Project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J9" s="82" cm="1">
        <f t="array" ref="J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Portfolio'!$I$4:$I$42&lt;=J$4+6)*('Project Portfolio'!$J$4:$J$42&gt;=J$4)*('Project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K9" s="82" cm="1">
        <f t="array" ref="K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Portfolio'!$I$4:$I$42&lt;=K$4+6)*('Project Portfolio'!$J$4:$J$42&gt;=K$4)*('Project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L9" s="82" cm="1">
        <f t="array" ref="L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Portfolio'!$I$4:$I$42&lt;=L$4+6)*('Project Portfolio'!$J$4:$J$42&gt;=L$4)*('Project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M9" s="82" cm="1">
        <f t="array" ref="M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Portfolio'!$I$4:$I$42&lt;=M$4+6)*('Project Portfolio'!$J$4:$J$42&gt;=M$4)*('Project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N9" s="82" cm="1">
        <f t="array" ref="N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Portfolio'!$I$4:$I$42&lt;=N$4+6)*('Project Portfolio'!$J$4:$J$42&gt;=N$4)*('Project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O9" s="82" cm="1">
        <f t="array" ref="O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Portfolio'!$I$4:$I$42&lt;=O$4+6)*('Project Portfolio'!$J$4:$J$42&gt;=O$4)*('Project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P9" s="82" cm="1">
        <f t="array" ref="P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Portfolio'!$I$4:$I$42&lt;=P$4+6)*('Project Portfolio'!$J$4:$J$42&gt;=P$4)*('Project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Q9" s="82" cm="1">
        <f t="array" ref="Q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Portfolio'!$I$4:$I$42&lt;=Q$4+6)*('Project Portfolio'!$J$4:$J$42&gt;=Q$4)*('Project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R9" s="82" cm="1">
        <f t="array" ref="R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Portfolio'!$I$4:$I$42&lt;=R$4+6)*('Project Portfolio'!$J$4:$J$42&gt;=R$4)*('Project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S9" s="82" cm="1">
        <f t="array" ref="S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Portfolio'!$I$4:$I$42&lt;=S$4+6)*('Project Portfolio'!$J$4:$J$42&gt;=S$4)*('Project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T9" s="82" cm="1">
        <f t="array" ref="T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Portfolio'!$I$4:$I$42&lt;=T$4+6)*('Project Portfolio'!$J$4:$J$42&gt;=T$4)*('Project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U9" s="82" cm="1">
        <f t="array" ref="U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Portfolio'!$I$4:$I$42&lt;=U$4+6)*('Project Portfolio'!$J$4:$J$42&gt;=U$4)*('Project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V9" s="82" cm="1">
        <f t="array" ref="V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Portfolio'!$I$4:$I$42&lt;=V$4+6)*('Project Portfolio'!$J$4:$J$42&gt;=V$4)*('Project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W9" s="82" cm="1">
        <f t="array" ref="W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Portfolio'!$I$4:$I$42&lt;=W$4+6)*('Project Portfolio'!$J$4:$J$42&gt;=W$4)*('Project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X9" s="82" cm="1">
        <f t="array" ref="X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Portfolio'!$I$4:$I$42&lt;=X$4+6)*('Project Portfolio'!$J$4:$J$42&gt;=X$4)*('Project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Y9" s="82" cm="1">
        <f t="array" ref="Y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Portfolio'!$I$4:$I$42&lt;=Y$4+6)*('Project Portfolio'!$J$4:$J$42&gt;=Y$4)*('Project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Z9" s="82" cm="1">
        <f t="array" ref="Z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Portfolio'!$I$4:$I$42&lt;=Z$4+6)*('Project Portfolio'!$J$4:$J$42&gt;=Z$4)*('Project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AA9" s="82" cm="1">
        <f t="array" ref="AA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Portfolio'!$I$4:$I$42&lt;=AA$4+6)*('Project Portfolio'!$J$4:$J$42&gt;=AA$4)*('Project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AB9" s="82" cm="1">
        <f t="array" ref="AB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Portfolio'!$I$4:$I$42&lt;=AB$4+6)*('Project Portfolio'!$J$4:$J$42&gt;=AB$4)*('Project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AC9" s="82" cm="1">
        <f t="array" ref="AC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Portfolio'!$I$4:$I$42&lt;=AC$4+6)*('Project Portfolio'!$J$4:$J$42&gt;=AC$4)*('Project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  <c r="AD9" s="82" cm="1">
        <f t="array" ref="AD9">IFERROR(SUMPRODUCT(('Project Portfolio'!$F$4:$F$42&lt;&gt;"✅ COMPLETE")*(('Project Portfolio'!$M$4:$M$42=$A9)+('Project Portfolio'!$N$4:$N$42=$A9)+('Project Portfolio'!$O$4:$O$42=$A9)+('Project Portfolio'!$P$4:$P$42=$A9)&gt;0)*('Project Portfolio'!$I$4:$I$42&gt;0)*('Project Portfolio'!$J$4:$J$42&gt;0)*('Project Portfolio'!$I$4:$I$42&lt;=AD$4+6)*('Project Portfolio'!$J$4:$J$42&gt;=AD$4)*('Project Portfolio'!$R$4:$R$42*IF($B9="Business Analyst",'Project Portfolio'!$T$4:$T$42,IF($B9="Functional",'Project Portfolio'!$U$4:$U$42,IF($B9="Technical",'Project Portfolio'!$V$4:$V$42,IF($B9="Developer",'Project Portfolio'!$W$4:$W$42,IF($B9="Infrastructure",'Project Portfolio'!$X$4:$X$42,IF($B9="DBA",'Project Portfolio'!$Y$4:$Y$42,IF($B9="Project Manager",'Project Portfolio'!$Z$4:$Z$42,IF($B9="WMS Consultant",'Project Portfolio'!$AA$4:$AA$42,0))))))))/IF(INT(('Project Portfolio'!$J$4:$J$42-'Project Portfolio'!$I$4:$I$42)/7+1)&gt;0,INT(('Project Portfolio'!$J$4:$J$42-'Project Portfolio'!$I$4:$I$42)/7+1),1)))/$D9,0)</f>
        <v>0</v>
      </c>
    </row>
    <row r="10" spans="1:30" ht="15" customHeight="1">
      <c r="A10" s="18" t="s">
        <v>74</v>
      </c>
      <c r="B10" s="18" t="s">
        <v>69</v>
      </c>
      <c r="C10" s="18" t="s">
        <v>66</v>
      </c>
      <c r="D10" s="22">
        <f>'Team Roster'!K9</f>
        <v>35</v>
      </c>
      <c r="E10" s="83" cm="1">
        <f t="array" ref="E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Portfolio'!$I$4:$I$42&lt;=E$4+6)*('Project Portfolio'!$J$4:$J$42&gt;=E$4)*('Project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  <c r="F10" s="83" cm="1">
        <f t="array" ref="F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Portfolio'!$I$4:$I$42&lt;=F$4+6)*('Project Portfolio'!$J$4:$J$42&gt;=F$4)*('Project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  <c r="G10" s="83" cm="1">
        <f t="array" ref="G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Portfolio'!$I$4:$I$42&lt;=G$4+6)*('Project Portfolio'!$J$4:$J$42&gt;=G$4)*('Project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  <c r="H10" s="83" cm="1">
        <f t="array" ref="H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Portfolio'!$I$4:$I$42&lt;=H$4+6)*('Project Portfolio'!$J$4:$J$42&gt;=H$4)*('Project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  <c r="I10" s="83" cm="1">
        <f t="array" ref="I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Portfolio'!$I$4:$I$42&lt;=I$4+6)*('Project Portfolio'!$J$4:$J$42&gt;=I$4)*('Project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  <c r="J10" s="83" cm="1">
        <f t="array" ref="J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Portfolio'!$I$4:$I$42&lt;=J$4+6)*('Project Portfolio'!$J$4:$J$42&gt;=J$4)*('Project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  <c r="K10" s="83" cm="1">
        <f t="array" ref="K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Portfolio'!$I$4:$I$42&lt;=K$4+6)*('Project Portfolio'!$J$4:$J$42&gt;=K$4)*('Project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  <c r="L10" s="83" cm="1">
        <f t="array" ref="L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Portfolio'!$I$4:$I$42&lt;=L$4+6)*('Project Portfolio'!$J$4:$J$42&gt;=L$4)*('Project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0.27857142857142858</v>
      </c>
      <c r="M10" s="83" cm="1">
        <f t="array" ref="M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Portfolio'!$I$4:$I$42&lt;=M$4+6)*('Project Portfolio'!$J$4:$J$42&gt;=M$4)*('Project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0.27857142857142858</v>
      </c>
      <c r="N10" s="83" cm="1">
        <f t="array" ref="N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Portfolio'!$I$4:$I$42&lt;=N$4+6)*('Project Portfolio'!$J$4:$J$42&gt;=N$4)*('Project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0.27857142857142858</v>
      </c>
      <c r="O10" s="83" cm="1">
        <f t="array" ref="O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Portfolio'!$I$4:$I$42&lt;=O$4+6)*('Project Portfolio'!$J$4:$J$42&gt;=O$4)*('Project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0.27857142857142858</v>
      </c>
      <c r="P10" s="83" cm="1">
        <f t="array" ref="P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Portfolio'!$I$4:$I$42&lt;=P$4+6)*('Project Portfolio'!$J$4:$J$42&gt;=P$4)*('Project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0.27857142857142858</v>
      </c>
      <c r="Q10" s="83" cm="1">
        <f t="array" ref="Q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Portfolio'!$I$4:$I$42&lt;=Q$4+6)*('Project Portfolio'!$J$4:$J$42&gt;=Q$4)*('Project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0.27857142857142858</v>
      </c>
      <c r="R10" s="83" cm="1">
        <f t="array" ref="R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Portfolio'!$I$4:$I$42&lt;=R$4+6)*('Project Portfolio'!$J$4:$J$42&gt;=R$4)*('Project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0.27857142857142858</v>
      </c>
      <c r="S10" s="83" cm="1">
        <f t="array" ref="S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Portfolio'!$I$4:$I$42&lt;=S$4+6)*('Project Portfolio'!$J$4:$J$42&gt;=S$4)*('Project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0.27857142857142858</v>
      </c>
      <c r="T10" s="83" cm="1">
        <f t="array" ref="T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Portfolio'!$I$4:$I$42&lt;=T$4+6)*('Project Portfolio'!$J$4:$J$42&gt;=T$4)*('Project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0.27857142857142858</v>
      </c>
      <c r="U10" s="83" cm="1">
        <f t="array" ref="U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Portfolio'!$I$4:$I$42&lt;=U$4+6)*('Project Portfolio'!$J$4:$J$42&gt;=U$4)*('Project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  <c r="V10" s="83" cm="1">
        <f t="array" ref="V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Portfolio'!$I$4:$I$42&lt;=V$4+6)*('Project Portfolio'!$J$4:$J$42&gt;=V$4)*('Project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  <c r="W10" s="83" cm="1">
        <f t="array" ref="W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Portfolio'!$I$4:$I$42&lt;=W$4+6)*('Project Portfolio'!$J$4:$J$42&gt;=W$4)*('Project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  <c r="X10" s="83" cm="1">
        <f t="array" ref="X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Portfolio'!$I$4:$I$42&lt;=X$4+6)*('Project Portfolio'!$J$4:$J$42&gt;=X$4)*('Project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  <c r="Y10" s="83" cm="1">
        <f t="array" ref="Y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Portfolio'!$I$4:$I$42&lt;=Y$4+6)*('Project Portfolio'!$J$4:$J$42&gt;=Y$4)*('Project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  <c r="Z10" s="83" cm="1">
        <f t="array" ref="Z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Portfolio'!$I$4:$I$42&lt;=Z$4+6)*('Project Portfolio'!$J$4:$J$42&gt;=Z$4)*('Project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  <c r="AA10" s="83" cm="1">
        <f t="array" ref="AA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Portfolio'!$I$4:$I$42&lt;=AA$4+6)*('Project Portfolio'!$J$4:$J$42&gt;=AA$4)*('Project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  <c r="AB10" s="83" cm="1">
        <f t="array" ref="AB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Portfolio'!$I$4:$I$42&lt;=AB$4+6)*('Project Portfolio'!$J$4:$J$42&gt;=AB$4)*('Project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  <c r="AC10" s="83" cm="1">
        <f t="array" ref="AC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Portfolio'!$I$4:$I$42&lt;=AC$4+6)*('Project Portfolio'!$J$4:$J$42&gt;=AC$4)*('Project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  <c r="AD10" s="83" cm="1">
        <f t="array" ref="AD10">IFERROR(SUMPRODUCT(('Project Portfolio'!$F$4:$F$42&lt;&gt;"✅ COMPLETE")*(('Project Portfolio'!$M$4:$M$42=$A10)+('Project Portfolio'!$N$4:$N$42=$A10)+('Project Portfolio'!$O$4:$O$42=$A10)+('Project Portfolio'!$P$4:$P$42=$A10)&gt;0)*('Project Portfolio'!$I$4:$I$42&gt;0)*('Project Portfolio'!$J$4:$J$42&gt;0)*('Project Portfolio'!$I$4:$I$42&lt;=AD$4+6)*('Project Portfolio'!$J$4:$J$42&gt;=AD$4)*('Project Portfolio'!$R$4:$R$42*IF($B10="Business Analyst",'Project Portfolio'!$T$4:$T$42,IF($B10="Functional",'Project Portfolio'!$U$4:$U$42,IF($B10="Technical",'Project Portfolio'!$V$4:$V$42,IF($B10="Developer",'Project Portfolio'!$W$4:$W$42,IF($B10="Infrastructure",'Project Portfolio'!$X$4:$X$42,IF($B10="DBA",'Project Portfolio'!$Y$4:$Y$42,IF($B10="Project Manager",'Project Portfolio'!$Z$4:$Z$42,IF($B10="WMS Consultant",'Project Portfolio'!$AA$4:$AA$42,0))))))))/IF(INT(('Project Portfolio'!$J$4:$J$42-'Project Portfolio'!$I$4:$I$42)/7+1)&gt;0,INT(('Project Portfolio'!$J$4:$J$42-'Project Portfolio'!$I$4:$I$42)/7+1),1)))/$D10,0)</f>
        <v>0</v>
      </c>
    </row>
    <row r="11" spans="1:30" ht="15" customHeight="1">
      <c r="A11" s="11" t="s">
        <v>75</v>
      </c>
      <c r="B11" s="11" t="s">
        <v>69</v>
      </c>
      <c r="C11" s="11" t="s">
        <v>66</v>
      </c>
      <c r="D11" s="15">
        <f>'Team Roster'!K10</f>
        <v>14</v>
      </c>
      <c r="E11" s="82" cm="1">
        <f t="array" ref="E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Portfolio'!$I$4:$I$42&lt;=E$4+6)*('Project Portfolio'!$J$4:$J$42&gt;=E$4)*('Project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F11" s="82" cm="1">
        <f t="array" ref="F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Portfolio'!$I$4:$I$42&lt;=F$4+6)*('Project Portfolio'!$J$4:$J$42&gt;=F$4)*('Project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G11" s="82" cm="1">
        <f t="array" ref="G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Portfolio'!$I$4:$I$42&lt;=G$4+6)*('Project Portfolio'!$J$4:$J$42&gt;=G$4)*('Project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H11" s="82" cm="1">
        <f t="array" ref="H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Portfolio'!$I$4:$I$42&lt;=H$4+6)*('Project Portfolio'!$J$4:$J$42&gt;=H$4)*('Project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I11" s="82" cm="1">
        <f t="array" ref="I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Portfolio'!$I$4:$I$42&lt;=I$4+6)*('Project Portfolio'!$J$4:$J$42&gt;=I$4)*('Project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J11" s="82" cm="1">
        <f t="array" ref="J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Portfolio'!$I$4:$I$42&lt;=J$4+6)*('Project Portfolio'!$J$4:$J$42&gt;=J$4)*('Project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K11" s="82" cm="1">
        <f t="array" ref="K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Portfolio'!$I$4:$I$42&lt;=K$4+6)*('Project Portfolio'!$J$4:$J$42&gt;=K$4)*('Project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L11" s="82" cm="1">
        <f t="array" ref="L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Portfolio'!$I$4:$I$42&lt;=L$4+6)*('Project Portfolio'!$J$4:$J$42&gt;=L$4)*('Project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M11" s="82" cm="1">
        <f t="array" ref="M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Portfolio'!$I$4:$I$42&lt;=M$4+6)*('Project Portfolio'!$J$4:$J$42&gt;=M$4)*('Project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N11" s="82" cm="1">
        <f t="array" ref="N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Portfolio'!$I$4:$I$42&lt;=N$4+6)*('Project Portfolio'!$J$4:$J$42&gt;=N$4)*('Project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O11" s="82" cm="1">
        <f t="array" ref="O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Portfolio'!$I$4:$I$42&lt;=O$4+6)*('Project Portfolio'!$J$4:$J$42&gt;=O$4)*('Project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P11" s="82" cm="1">
        <f t="array" ref="P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Portfolio'!$I$4:$I$42&lt;=P$4+6)*('Project Portfolio'!$J$4:$J$42&gt;=P$4)*('Project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Q11" s="82" cm="1">
        <f t="array" ref="Q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Portfolio'!$I$4:$I$42&lt;=Q$4+6)*('Project Portfolio'!$J$4:$J$42&gt;=Q$4)*('Project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R11" s="82" cm="1">
        <f t="array" ref="R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Portfolio'!$I$4:$I$42&lt;=R$4+6)*('Project Portfolio'!$J$4:$J$42&gt;=R$4)*('Project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S11" s="82" cm="1">
        <f t="array" ref="S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Portfolio'!$I$4:$I$42&lt;=S$4+6)*('Project Portfolio'!$J$4:$J$42&gt;=S$4)*('Project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T11" s="82" cm="1">
        <f t="array" ref="T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Portfolio'!$I$4:$I$42&lt;=T$4+6)*('Project Portfolio'!$J$4:$J$42&gt;=T$4)*('Project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U11" s="82" cm="1">
        <f t="array" ref="U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Portfolio'!$I$4:$I$42&lt;=U$4+6)*('Project Portfolio'!$J$4:$J$42&gt;=U$4)*('Project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V11" s="82" cm="1">
        <f t="array" ref="V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Portfolio'!$I$4:$I$42&lt;=V$4+6)*('Project Portfolio'!$J$4:$J$42&gt;=V$4)*('Project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W11" s="82" cm="1">
        <f t="array" ref="W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Portfolio'!$I$4:$I$42&lt;=W$4+6)*('Project Portfolio'!$J$4:$J$42&gt;=W$4)*('Project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X11" s="82" cm="1">
        <f t="array" ref="X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Portfolio'!$I$4:$I$42&lt;=X$4+6)*('Project Portfolio'!$J$4:$J$42&gt;=X$4)*('Project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Y11" s="82" cm="1">
        <f t="array" ref="Y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Portfolio'!$I$4:$I$42&lt;=Y$4+6)*('Project Portfolio'!$J$4:$J$42&gt;=Y$4)*('Project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Z11" s="82" cm="1">
        <f t="array" ref="Z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Portfolio'!$I$4:$I$42&lt;=Z$4+6)*('Project Portfolio'!$J$4:$J$42&gt;=Z$4)*('Project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AA11" s="82" cm="1">
        <f t="array" ref="AA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Portfolio'!$I$4:$I$42&lt;=AA$4+6)*('Project Portfolio'!$J$4:$J$42&gt;=AA$4)*('Project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AB11" s="82" cm="1">
        <f t="array" ref="AB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Portfolio'!$I$4:$I$42&lt;=AB$4+6)*('Project Portfolio'!$J$4:$J$42&gt;=AB$4)*('Project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AC11" s="82" cm="1">
        <f t="array" ref="AC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Portfolio'!$I$4:$I$42&lt;=AC$4+6)*('Project Portfolio'!$J$4:$J$42&gt;=AC$4)*('Project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  <c r="AD11" s="82" cm="1">
        <f t="array" ref="AD11">IFERROR(SUMPRODUCT(('Project Portfolio'!$F$4:$F$42&lt;&gt;"✅ COMPLETE")*(('Project Portfolio'!$M$4:$M$42=$A11)+('Project Portfolio'!$N$4:$N$42=$A11)+('Project Portfolio'!$O$4:$O$42=$A11)+('Project Portfolio'!$P$4:$P$42=$A11)&gt;0)*('Project Portfolio'!$I$4:$I$42&gt;0)*('Project Portfolio'!$J$4:$J$42&gt;0)*('Project Portfolio'!$I$4:$I$42&lt;=AD$4+6)*('Project Portfolio'!$J$4:$J$42&gt;=AD$4)*('Project Portfolio'!$R$4:$R$42*IF($B11="Business Analyst",'Project Portfolio'!$T$4:$T$42,IF($B11="Functional",'Project Portfolio'!$U$4:$U$42,IF($B11="Technical",'Project Portfolio'!$V$4:$V$42,IF($B11="Developer",'Project Portfolio'!$W$4:$W$42,IF($B11="Infrastructure",'Project Portfolio'!$X$4:$X$42,IF($B11="DBA",'Project Portfolio'!$Y$4:$Y$42,IF($B11="Project Manager",'Project Portfolio'!$Z$4:$Z$42,IF($B11="WMS Consultant",'Project Portfolio'!$AA$4:$AA$42,0))))))))/IF(INT(('Project Portfolio'!$J$4:$J$42-'Project Portfolio'!$I$4:$I$42)/7+1)&gt;0,INT(('Project Portfolio'!$J$4:$J$42-'Project Portfolio'!$I$4:$I$42)/7+1),1)))/$D11,0)</f>
        <v>0</v>
      </c>
    </row>
    <row r="12" spans="1:30" ht="15" customHeight="1">
      <c r="A12" s="18" t="s">
        <v>76</v>
      </c>
      <c r="B12" s="18" t="s">
        <v>77</v>
      </c>
      <c r="C12" s="18" t="s">
        <v>66</v>
      </c>
      <c r="D12" s="22">
        <f>'Team Roster'!K11</f>
        <v>6.9999999999999982</v>
      </c>
      <c r="E12" s="83" cm="1">
        <f t="array" ref="E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Portfolio'!$I$4:$I$42&lt;=E$4+6)*('Project Portfolio'!$J$4:$J$42&gt;=E$4)*('Project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F12" s="83" cm="1">
        <f t="array" ref="F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Portfolio'!$I$4:$I$42&lt;=F$4+6)*('Project Portfolio'!$J$4:$J$42&gt;=F$4)*('Project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G12" s="83" cm="1">
        <f t="array" ref="G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Portfolio'!$I$4:$I$42&lt;=G$4+6)*('Project Portfolio'!$J$4:$J$42&gt;=G$4)*('Project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H12" s="83" cm="1">
        <f t="array" ref="H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Portfolio'!$I$4:$I$42&lt;=H$4+6)*('Project Portfolio'!$J$4:$J$42&gt;=H$4)*('Project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I12" s="83" cm="1">
        <f t="array" ref="I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Portfolio'!$I$4:$I$42&lt;=I$4+6)*('Project Portfolio'!$J$4:$J$42&gt;=I$4)*('Project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J12" s="83" cm="1">
        <f t="array" ref="J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Portfolio'!$I$4:$I$42&lt;=J$4+6)*('Project Portfolio'!$J$4:$J$42&gt;=J$4)*('Project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K12" s="83" cm="1">
        <f t="array" ref="K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Portfolio'!$I$4:$I$42&lt;=K$4+6)*('Project Portfolio'!$J$4:$J$42&gt;=K$4)*('Project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L12" s="83" cm="1">
        <f t="array" ref="L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Portfolio'!$I$4:$I$42&lt;=L$4+6)*('Project Portfolio'!$J$4:$J$42&gt;=L$4)*('Project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M12" s="83" cm="1">
        <f t="array" ref="M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Portfolio'!$I$4:$I$42&lt;=M$4+6)*('Project Portfolio'!$J$4:$J$42&gt;=M$4)*('Project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N12" s="83" cm="1">
        <f t="array" ref="N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Portfolio'!$I$4:$I$42&lt;=N$4+6)*('Project Portfolio'!$J$4:$J$42&gt;=N$4)*('Project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O12" s="83" cm="1">
        <f t="array" ref="O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Portfolio'!$I$4:$I$42&lt;=O$4+6)*('Project Portfolio'!$J$4:$J$42&gt;=O$4)*('Project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P12" s="83" cm="1">
        <f t="array" ref="P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Portfolio'!$I$4:$I$42&lt;=P$4+6)*('Project Portfolio'!$J$4:$J$42&gt;=P$4)*('Project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Q12" s="83" cm="1">
        <f t="array" ref="Q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Portfolio'!$I$4:$I$42&lt;=Q$4+6)*('Project Portfolio'!$J$4:$J$42&gt;=Q$4)*('Project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R12" s="83" cm="1">
        <f t="array" ref="R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Portfolio'!$I$4:$I$42&lt;=R$4+6)*('Project Portfolio'!$J$4:$J$42&gt;=R$4)*('Project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S12" s="83" cm="1">
        <f t="array" ref="S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Portfolio'!$I$4:$I$42&lt;=S$4+6)*('Project Portfolio'!$J$4:$J$42&gt;=S$4)*('Project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T12" s="83" cm="1">
        <f t="array" ref="T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Portfolio'!$I$4:$I$42&lt;=T$4+6)*('Project Portfolio'!$J$4:$J$42&gt;=T$4)*('Project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U12" s="83" cm="1">
        <f t="array" ref="U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Portfolio'!$I$4:$I$42&lt;=U$4+6)*('Project Portfolio'!$J$4:$J$42&gt;=U$4)*('Project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V12" s="83" cm="1">
        <f t="array" ref="V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Portfolio'!$I$4:$I$42&lt;=V$4+6)*('Project Portfolio'!$J$4:$J$42&gt;=V$4)*('Project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W12" s="83" cm="1">
        <f t="array" ref="W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Portfolio'!$I$4:$I$42&lt;=W$4+6)*('Project Portfolio'!$J$4:$J$42&gt;=W$4)*('Project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X12" s="83" cm="1">
        <f t="array" ref="X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Portfolio'!$I$4:$I$42&lt;=X$4+6)*('Project Portfolio'!$J$4:$J$42&gt;=X$4)*('Project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Y12" s="83" cm="1">
        <f t="array" ref="Y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Portfolio'!$I$4:$I$42&lt;=Y$4+6)*('Project Portfolio'!$J$4:$J$42&gt;=Y$4)*('Project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Z12" s="83" cm="1">
        <f t="array" ref="Z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Portfolio'!$I$4:$I$42&lt;=Z$4+6)*('Project Portfolio'!$J$4:$J$42&gt;=Z$4)*('Project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AA12" s="83" cm="1">
        <f t="array" ref="AA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Portfolio'!$I$4:$I$42&lt;=AA$4+6)*('Project Portfolio'!$J$4:$J$42&gt;=AA$4)*('Project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AB12" s="83" cm="1">
        <f t="array" ref="AB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Portfolio'!$I$4:$I$42&lt;=AB$4+6)*('Project Portfolio'!$J$4:$J$42&gt;=AB$4)*('Project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AC12" s="83" cm="1">
        <f t="array" ref="AC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Portfolio'!$I$4:$I$42&lt;=AC$4+6)*('Project Portfolio'!$J$4:$J$42&gt;=AC$4)*('Project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  <c r="AD12" s="83" cm="1">
        <f t="array" ref="AD12">IFERROR(SUMPRODUCT(('Project Portfolio'!$F$4:$F$42&lt;&gt;"✅ COMPLETE")*(('Project Portfolio'!$M$4:$M$42=$A12)+('Project Portfolio'!$N$4:$N$42=$A12)+('Project Portfolio'!$O$4:$O$42=$A12)+('Project Portfolio'!$P$4:$P$42=$A12)&gt;0)*('Project Portfolio'!$I$4:$I$42&gt;0)*('Project Portfolio'!$J$4:$J$42&gt;0)*('Project Portfolio'!$I$4:$I$42&lt;=AD$4+6)*('Project Portfolio'!$J$4:$J$42&gt;=AD$4)*('Project Portfolio'!$R$4:$R$42*IF($B12="Business Analyst",'Project Portfolio'!$T$4:$T$42,IF($B12="Functional",'Project Portfolio'!$U$4:$U$42,IF($B12="Technical",'Project Portfolio'!$V$4:$V$42,IF($B12="Developer",'Project Portfolio'!$W$4:$W$42,IF($B12="Infrastructure",'Project Portfolio'!$X$4:$X$42,IF($B12="DBA",'Project Portfolio'!$Y$4:$Y$42,IF($B12="Project Manager",'Project Portfolio'!$Z$4:$Z$42,IF($B12="WMS Consultant",'Project Portfolio'!$AA$4:$AA$42,0))))))))/IF(INT(('Project Portfolio'!$J$4:$J$42-'Project Portfolio'!$I$4:$I$42)/7+1)&gt;0,INT(('Project Portfolio'!$J$4:$J$42-'Project Portfolio'!$I$4:$I$42)/7+1),1)))/$D12,0)</f>
        <v>0</v>
      </c>
    </row>
    <row r="13" spans="1:30" ht="15" customHeight="1">
      <c r="A13" s="11" t="s">
        <v>78</v>
      </c>
      <c r="B13" s="11" t="s">
        <v>79</v>
      </c>
      <c r="C13" s="11" t="s">
        <v>25</v>
      </c>
      <c r="D13" s="15">
        <f>'Team Roster'!K12</f>
        <v>16</v>
      </c>
      <c r="E13" s="82" cm="1">
        <f t="array" ref="E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Portfolio'!$I$4:$I$42&lt;=E$4+6)*('Project Portfolio'!$J$4:$J$42&gt;=E$4)*('Project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F13" s="82" cm="1">
        <f t="array" ref="F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Portfolio'!$I$4:$I$42&lt;=F$4+6)*('Project Portfolio'!$J$4:$J$42&gt;=F$4)*('Project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G13" s="82" cm="1">
        <f t="array" ref="G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Portfolio'!$I$4:$I$42&lt;=G$4+6)*('Project Portfolio'!$J$4:$J$42&gt;=G$4)*('Project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H13" s="82" cm="1">
        <f t="array" ref="H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Portfolio'!$I$4:$I$42&lt;=H$4+6)*('Project Portfolio'!$J$4:$J$42&gt;=H$4)*('Project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I13" s="82" cm="1">
        <f t="array" ref="I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Portfolio'!$I$4:$I$42&lt;=I$4+6)*('Project Portfolio'!$J$4:$J$42&gt;=I$4)*('Project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J13" s="82" cm="1">
        <f t="array" ref="J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Portfolio'!$I$4:$I$42&lt;=J$4+6)*('Project Portfolio'!$J$4:$J$42&gt;=J$4)*('Project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K13" s="82" cm="1">
        <f t="array" ref="K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Portfolio'!$I$4:$I$42&lt;=K$4+6)*('Project Portfolio'!$J$4:$J$42&gt;=K$4)*('Project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L13" s="82" cm="1">
        <f t="array" ref="L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Portfolio'!$I$4:$I$42&lt;=L$4+6)*('Project Portfolio'!$J$4:$J$42&gt;=L$4)*('Project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M13" s="82" cm="1">
        <f t="array" ref="M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Portfolio'!$I$4:$I$42&lt;=M$4+6)*('Project Portfolio'!$J$4:$J$42&gt;=M$4)*('Project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N13" s="82" cm="1">
        <f t="array" ref="N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Portfolio'!$I$4:$I$42&lt;=N$4+6)*('Project Portfolio'!$J$4:$J$42&gt;=N$4)*('Project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O13" s="82" cm="1">
        <f t="array" ref="O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Portfolio'!$I$4:$I$42&lt;=O$4+6)*('Project Portfolio'!$J$4:$J$42&gt;=O$4)*('Project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P13" s="82" cm="1">
        <f t="array" ref="P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Portfolio'!$I$4:$I$42&lt;=P$4+6)*('Project Portfolio'!$J$4:$J$42&gt;=P$4)*('Project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Q13" s="82" cm="1">
        <f t="array" ref="Q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Portfolio'!$I$4:$I$42&lt;=Q$4+6)*('Project Portfolio'!$J$4:$J$42&gt;=Q$4)*('Project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R13" s="82" cm="1">
        <f t="array" ref="R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Portfolio'!$I$4:$I$42&lt;=R$4+6)*('Project Portfolio'!$J$4:$J$42&gt;=R$4)*('Project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S13" s="82" cm="1">
        <f t="array" ref="S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Portfolio'!$I$4:$I$42&lt;=S$4+6)*('Project Portfolio'!$J$4:$J$42&gt;=S$4)*('Project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T13" s="82" cm="1">
        <f t="array" ref="T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Portfolio'!$I$4:$I$42&lt;=T$4+6)*('Project Portfolio'!$J$4:$J$42&gt;=T$4)*('Project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U13" s="82" cm="1">
        <f t="array" ref="U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Portfolio'!$I$4:$I$42&lt;=U$4+6)*('Project Portfolio'!$J$4:$J$42&gt;=U$4)*('Project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V13" s="82" cm="1">
        <f t="array" ref="V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Portfolio'!$I$4:$I$42&lt;=V$4+6)*('Project Portfolio'!$J$4:$J$42&gt;=V$4)*('Project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W13" s="82" cm="1">
        <f t="array" ref="W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Portfolio'!$I$4:$I$42&lt;=W$4+6)*('Project Portfolio'!$J$4:$J$42&gt;=W$4)*('Project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X13" s="82" cm="1">
        <f t="array" ref="X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Portfolio'!$I$4:$I$42&lt;=X$4+6)*('Project Portfolio'!$J$4:$J$42&gt;=X$4)*('Project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Y13" s="82" cm="1">
        <f t="array" ref="Y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Portfolio'!$I$4:$I$42&lt;=Y$4+6)*('Project Portfolio'!$J$4:$J$42&gt;=Y$4)*('Project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Z13" s="82" cm="1">
        <f t="array" ref="Z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Portfolio'!$I$4:$I$42&lt;=Z$4+6)*('Project Portfolio'!$J$4:$J$42&gt;=Z$4)*('Project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0.28030303030303028</v>
      </c>
      <c r="AA13" s="82" cm="1">
        <f t="array" ref="AA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Portfolio'!$I$4:$I$42&lt;=AA$4+6)*('Project Portfolio'!$J$4:$J$42&gt;=AA$4)*('Project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</v>
      </c>
      <c r="AB13" s="82" cm="1">
        <f t="array" ref="AB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Portfolio'!$I$4:$I$42&lt;=AB$4+6)*('Project Portfolio'!$J$4:$J$42&gt;=AB$4)*('Project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</v>
      </c>
      <c r="AC13" s="82" cm="1">
        <f t="array" ref="AC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Portfolio'!$I$4:$I$42&lt;=AC$4+6)*('Project Portfolio'!$J$4:$J$42&gt;=AC$4)*('Project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</v>
      </c>
      <c r="AD13" s="82" cm="1">
        <f t="array" ref="AD13">IFERROR(SUMPRODUCT(('Project Portfolio'!$F$4:$F$42&lt;&gt;"✅ COMPLETE")*(('Project Portfolio'!$M$4:$M$42=$A13)+('Project Portfolio'!$N$4:$N$42=$A13)+('Project Portfolio'!$O$4:$O$42=$A13)+('Project Portfolio'!$P$4:$P$42=$A13)&gt;0)*('Project Portfolio'!$I$4:$I$42&gt;0)*('Project Portfolio'!$J$4:$J$42&gt;0)*('Project Portfolio'!$I$4:$I$42&lt;=AD$4+6)*('Project Portfolio'!$J$4:$J$42&gt;=AD$4)*('Project Portfolio'!$R$4:$R$42*IF($B13="Business Analyst",'Project Portfolio'!$T$4:$T$42,IF($B13="Functional",'Project Portfolio'!$U$4:$U$42,IF($B13="Technical",'Project Portfolio'!$V$4:$V$42,IF($B13="Developer",'Project Portfolio'!$W$4:$W$42,IF($B13="Infrastructure",'Project Portfolio'!$X$4:$X$42,IF($B13="DBA",'Project Portfolio'!$Y$4:$Y$42,IF($B13="Project Manager",'Project Portfolio'!$Z$4:$Z$42,IF($B13="WMS Consultant",'Project Portfolio'!$AA$4:$AA$42,0))))))))/IF(INT(('Project Portfolio'!$J$4:$J$42-'Project Portfolio'!$I$4:$I$42)/7+1)&gt;0,INT(('Project Portfolio'!$J$4:$J$42-'Project Portfolio'!$I$4:$I$42)/7+1),1)))/$D13,0)</f>
        <v>0</v>
      </c>
    </row>
    <row r="14" spans="1:30" ht="15" customHeight="1">
      <c r="A14" s="18" t="s">
        <v>81</v>
      </c>
      <c r="B14" s="18" t="s">
        <v>82</v>
      </c>
      <c r="C14" s="18" t="s">
        <v>23</v>
      </c>
      <c r="D14" s="22">
        <f>'Team Roster'!K13</f>
        <v>12.5</v>
      </c>
      <c r="E14" s="83" cm="1">
        <f t="array" ref="E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Portfolio'!$I$4:$I$42&lt;=E$4+6)*('Project Portfolio'!$J$4:$J$42&gt;=E$4)*('Project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F14" s="83" cm="1">
        <f t="array" ref="F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Portfolio'!$I$4:$I$42&lt;=F$4+6)*('Project Portfolio'!$J$4:$J$42&gt;=F$4)*('Project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G14" s="83" cm="1">
        <f t="array" ref="G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Portfolio'!$I$4:$I$42&lt;=G$4+6)*('Project Portfolio'!$J$4:$J$42&gt;=G$4)*('Project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H14" s="83" cm="1">
        <f t="array" ref="H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Portfolio'!$I$4:$I$42&lt;=H$4+6)*('Project Portfolio'!$J$4:$J$42&gt;=H$4)*('Project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I14" s="83" cm="1">
        <f t="array" ref="I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Portfolio'!$I$4:$I$42&lt;=I$4+6)*('Project Portfolio'!$J$4:$J$42&gt;=I$4)*('Project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J14" s="83" cm="1">
        <f t="array" ref="J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Portfolio'!$I$4:$I$42&lt;=J$4+6)*('Project Portfolio'!$J$4:$J$42&gt;=J$4)*('Project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K14" s="83" cm="1">
        <f t="array" ref="K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Portfolio'!$I$4:$I$42&lt;=K$4+6)*('Project Portfolio'!$J$4:$J$42&gt;=K$4)*('Project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L14" s="83" cm="1">
        <f t="array" ref="L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Portfolio'!$I$4:$I$42&lt;=L$4+6)*('Project Portfolio'!$J$4:$J$42&gt;=L$4)*('Project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M14" s="83" cm="1">
        <f t="array" ref="M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Portfolio'!$I$4:$I$42&lt;=M$4+6)*('Project Portfolio'!$J$4:$J$42&gt;=M$4)*('Project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N14" s="83" cm="1">
        <f t="array" ref="N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Portfolio'!$I$4:$I$42&lt;=N$4+6)*('Project Portfolio'!$J$4:$J$42&gt;=N$4)*('Project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O14" s="83" cm="1">
        <f t="array" ref="O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Portfolio'!$I$4:$I$42&lt;=O$4+6)*('Project Portfolio'!$J$4:$J$42&gt;=O$4)*('Project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P14" s="83" cm="1">
        <f t="array" ref="P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Portfolio'!$I$4:$I$42&lt;=P$4+6)*('Project Portfolio'!$J$4:$J$42&gt;=P$4)*('Project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Q14" s="83" cm="1">
        <f t="array" ref="Q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Portfolio'!$I$4:$I$42&lt;=Q$4+6)*('Project Portfolio'!$J$4:$J$42&gt;=Q$4)*('Project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R14" s="83" cm="1">
        <f t="array" ref="R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Portfolio'!$I$4:$I$42&lt;=R$4+6)*('Project Portfolio'!$J$4:$J$42&gt;=R$4)*('Project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S14" s="83" cm="1">
        <f t="array" ref="S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Portfolio'!$I$4:$I$42&lt;=S$4+6)*('Project Portfolio'!$J$4:$J$42&gt;=S$4)*('Project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T14" s="83" cm="1">
        <f t="array" ref="T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Portfolio'!$I$4:$I$42&lt;=T$4+6)*('Project Portfolio'!$J$4:$J$42&gt;=T$4)*('Project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U14" s="83" cm="1">
        <f t="array" ref="U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Portfolio'!$I$4:$I$42&lt;=U$4+6)*('Project Portfolio'!$J$4:$J$42&gt;=U$4)*('Project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V14" s="83" cm="1">
        <f t="array" ref="V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Portfolio'!$I$4:$I$42&lt;=V$4+6)*('Project Portfolio'!$J$4:$J$42&gt;=V$4)*('Project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W14" s="83" cm="1">
        <f t="array" ref="W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Portfolio'!$I$4:$I$42&lt;=W$4+6)*('Project Portfolio'!$J$4:$J$42&gt;=W$4)*('Project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X14" s="83" cm="1">
        <f t="array" ref="X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Portfolio'!$I$4:$I$42&lt;=X$4+6)*('Project Portfolio'!$J$4:$J$42&gt;=X$4)*('Project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Y14" s="83" cm="1">
        <f t="array" ref="Y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Portfolio'!$I$4:$I$42&lt;=Y$4+6)*('Project Portfolio'!$J$4:$J$42&gt;=Y$4)*('Project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Z14" s="83" cm="1">
        <f t="array" ref="Z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Portfolio'!$I$4:$I$42&lt;=Z$4+6)*('Project Portfolio'!$J$4:$J$42&gt;=Z$4)*('Project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AA14" s="83" cm="1">
        <f t="array" ref="AA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Portfolio'!$I$4:$I$42&lt;=AA$4+6)*('Project Portfolio'!$J$4:$J$42&gt;=AA$4)*('Project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AB14" s="83" cm="1">
        <f t="array" ref="AB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Portfolio'!$I$4:$I$42&lt;=AB$4+6)*('Project Portfolio'!$J$4:$J$42&gt;=AB$4)*('Project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AC14" s="83" cm="1">
        <f t="array" ref="AC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Portfolio'!$I$4:$I$42&lt;=AC$4+6)*('Project Portfolio'!$J$4:$J$42&gt;=AC$4)*('Project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  <c r="AD14" s="83" cm="1">
        <f t="array" ref="AD14">IFERROR(SUMPRODUCT(('Project Portfolio'!$F$4:$F$42&lt;&gt;"✅ COMPLETE")*(('Project Portfolio'!$M$4:$M$42=$A14)+('Project Portfolio'!$N$4:$N$42=$A14)+('Project Portfolio'!$O$4:$O$42=$A14)+('Project Portfolio'!$P$4:$P$42=$A14)&gt;0)*('Project Portfolio'!$I$4:$I$42&gt;0)*('Project Portfolio'!$J$4:$J$42&gt;0)*('Project Portfolio'!$I$4:$I$42&lt;=AD$4+6)*('Project Portfolio'!$J$4:$J$42&gt;=AD$4)*('Project Portfolio'!$R$4:$R$42*IF($B14="Business Analyst",'Project Portfolio'!$T$4:$T$42,IF($B14="Functional",'Project Portfolio'!$U$4:$U$42,IF($B14="Technical",'Project Portfolio'!$V$4:$V$42,IF($B14="Developer",'Project Portfolio'!$W$4:$W$42,IF($B14="Infrastructure",'Project Portfolio'!$X$4:$X$42,IF($B14="DBA",'Project Portfolio'!$Y$4:$Y$42,IF($B14="Project Manager",'Project Portfolio'!$Z$4:$Z$42,IF($B14="WMS Consultant",'Project Portfolio'!$AA$4:$AA$42,0))))))))/IF(INT(('Project Portfolio'!$J$4:$J$42-'Project Portfolio'!$I$4:$I$42)/7+1)&gt;0,INT(('Project Portfolio'!$J$4:$J$42-'Project Portfolio'!$I$4:$I$42)/7+1),1)))/$D14,0)</f>
        <v>0</v>
      </c>
    </row>
    <row r="15" spans="1:30" ht="15" customHeight="1">
      <c r="A15" s="11" t="s">
        <v>83</v>
      </c>
      <c r="B15" s="11" t="s">
        <v>82</v>
      </c>
      <c r="C15" s="11" t="s">
        <v>23</v>
      </c>
      <c r="D15" s="15">
        <f>'Team Roster'!K14</f>
        <v>15</v>
      </c>
      <c r="E15" s="82" cm="1">
        <f t="array" ref="E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Portfolio'!$I$4:$I$42&lt;=E$4+6)*('Project Portfolio'!$J$4:$J$42&gt;=E$4)*('Project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F15" s="82" cm="1">
        <f t="array" ref="F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Portfolio'!$I$4:$I$42&lt;=F$4+6)*('Project Portfolio'!$J$4:$J$42&gt;=F$4)*('Project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G15" s="82" cm="1">
        <f t="array" ref="G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Portfolio'!$I$4:$I$42&lt;=G$4+6)*('Project Portfolio'!$J$4:$J$42&gt;=G$4)*('Project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H15" s="82" cm="1">
        <f t="array" ref="H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Portfolio'!$I$4:$I$42&lt;=H$4+6)*('Project Portfolio'!$J$4:$J$42&gt;=H$4)*('Project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I15" s="82" cm="1">
        <f t="array" ref="I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Portfolio'!$I$4:$I$42&lt;=I$4+6)*('Project Portfolio'!$J$4:$J$42&gt;=I$4)*('Project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J15" s="82" cm="1">
        <f t="array" ref="J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Portfolio'!$I$4:$I$42&lt;=J$4+6)*('Project Portfolio'!$J$4:$J$42&gt;=J$4)*('Project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K15" s="82" cm="1">
        <f t="array" ref="K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Portfolio'!$I$4:$I$42&lt;=K$4+6)*('Project Portfolio'!$J$4:$J$42&gt;=K$4)*('Project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L15" s="82" cm="1">
        <f t="array" ref="L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Portfolio'!$I$4:$I$42&lt;=L$4+6)*('Project Portfolio'!$J$4:$J$42&gt;=L$4)*('Project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M15" s="82" cm="1">
        <f t="array" ref="M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Portfolio'!$I$4:$I$42&lt;=M$4+6)*('Project Portfolio'!$J$4:$J$42&gt;=M$4)*('Project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N15" s="82" cm="1">
        <f t="array" ref="N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Portfolio'!$I$4:$I$42&lt;=N$4+6)*('Project Portfolio'!$J$4:$J$42&gt;=N$4)*('Project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O15" s="82" cm="1">
        <f t="array" ref="O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Portfolio'!$I$4:$I$42&lt;=O$4+6)*('Project Portfolio'!$J$4:$J$42&gt;=O$4)*('Project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P15" s="82" cm="1">
        <f t="array" ref="P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Portfolio'!$I$4:$I$42&lt;=P$4+6)*('Project Portfolio'!$J$4:$J$42&gt;=P$4)*('Project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Q15" s="82" cm="1">
        <f t="array" ref="Q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Portfolio'!$I$4:$I$42&lt;=Q$4+6)*('Project Portfolio'!$J$4:$J$42&gt;=Q$4)*('Project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R15" s="82" cm="1">
        <f t="array" ref="R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Portfolio'!$I$4:$I$42&lt;=R$4+6)*('Project Portfolio'!$J$4:$J$42&gt;=R$4)*('Project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S15" s="82" cm="1">
        <f t="array" ref="S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Portfolio'!$I$4:$I$42&lt;=S$4+6)*('Project Portfolio'!$J$4:$J$42&gt;=S$4)*('Project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T15" s="82" cm="1">
        <f t="array" ref="T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Portfolio'!$I$4:$I$42&lt;=T$4+6)*('Project Portfolio'!$J$4:$J$42&gt;=T$4)*('Project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U15" s="82" cm="1">
        <f t="array" ref="U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Portfolio'!$I$4:$I$42&lt;=U$4+6)*('Project Portfolio'!$J$4:$J$42&gt;=U$4)*('Project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V15" s="82" cm="1">
        <f t="array" ref="V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Portfolio'!$I$4:$I$42&lt;=V$4+6)*('Project Portfolio'!$J$4:$J$42&gt;=V$4)*('Project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W15" s="82" cm="1">
        <f t="array" ref="W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Portfolio'!$I$4:$I$42&lt;=W$4+6)*('Project Portfolio'!$J$4:$J$42&gt;=W$4)*('Project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X15" s="82" cm="1">
        <f t="array" ref="X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Portfolio'!$I$4:$I$42&lt;=X$4+6)*('Project Portfolio'!$J$4:$J$42&gt;=X$4)*('Project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Y15" s="82" cm="1">
        <f t="array" ref="Y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Portfolio'!$I$4:$I$42&lt;=Y$4+6)*('Project Portfolio'!$J$4:$J$42&gt;=Y$4)*('Project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Z15" s="82" cm="1">
        <f t="array" ref="Z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Portfolio'!$I$4:$I$42&lt;=Z$4+6)*('Project Portfolio'!$J$4:$J$42&gt;=Z$4)*('Project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AA15" s="82" cm="1">
        <f t="array" ref="AA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Portfolio'!$I$4:$I$42&lt;=AA$4+6)*('Project Portfolio'!$J$4:$J$42&gt;=AA$4)*('Project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AB15" s="82" cm="1">
        <f t="array" ref="AB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Portfolio'!$I$4:$I$42&lt;=AB$4+6)*('Project Portfolio'!$J$4:$J$42&gt;=AB$4)*('Project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AC15" s="82" cm="1">
        <f t="array" ref="AC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Portfolio'!$I$4:$I$42&lt;=AC$4+6)*('Project Portfolio'!$J$4:$J$42&gt;=AC$4)*('Project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  <c r="AD15" s="82" cm="1">
        <f t="array" ref="AD15">IFERROR(SUMPRODUCT(('Project Portfolio'!$F$4:$F$42&lt;&gt;"✅ COMPLETE")*(('Project Portfolio'!$M$4:$M$42=$A15)+('Project Portfolio'!$N$4:$N$42=$A15)+('Project Portfolio'!$O$4:$O$42=$A15)+('Project Portfolio'!$P$4:$P$42=$A15)&gt;0)*('Project Portfolio'!$I$4:$I$42&gt;0)*('Project Portfolio'!$J$4:$J$42&gt;0)*('Project Portfolio'!$I$4:$I$42&lt;=AD$4+6)*('Project Portfolio'!$J$4:$J$42&gt;=AD$4)*('Project Portfolio'!$R$4:$R$42*IF($B15="Business Analyst",'Project Portfolio'!$T$4:$T$42,IF($B15="Functional",'Project Portfolio'!$U$4:$U$42,IF($B15="Technical",'Project Portfolio'!$V$4:$V$42,IF($B15="Developer",'Project Portfolio'!$W$4:$W$42,IF($B15="Infrastructure",'Project Portfolio'!$X$4:$X$42,IF($B15="DBA",'Project Portfolio'!$Y$4:$Y$42,IF($B15="Project Manager",'Project Portfolio'!$Z$4:$Z$42,IF($B15="WMS Consultant",'Project Portfolio'!$AA$4:$AA$42,0))))))))/IF(INT(('Project Portfolio'!$J$4:$J$42-'Project Portfolio'!$I$4:$I$42)/7+1)&gt;0,INT(('Project Portfolio'!$J$4:$J$42-'Project Portfolio'!$I$4:$I$42)/7+1),1)))/$D15,0)</f>
        <v>0</v>
      </c>
    </row>
    <row r="16" spans="1:30" ht="15" customHeight="1">
      <c r="A16" s="18" t="s">
        <v>84</v>
      </c>
      <c r="B16" s="18" t="s">
        <v>82</v>
      </c>
      <c r="C16" s="18" t="s">
        <v>23</v>
      </c>
      <c r="D16" s="22">
        <f>'Team Roster'!K15</f>
        <v>22.5</v>
      </c>
      <c r="E16" s="83" cm="1">
        <f t="array" ref="E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Portfolio'!$I$4:$I$42&lt;=E$4+6)*('Project Portfolio'!$J$4:$J$42&gt;=E$4)*('Project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F16" s="83" cm="1">
        <f t="array" ref="F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Portfolio'!$I$4:$I$42&lt;=F$4+6)*('Project Portfolio'!$J$4:$J$42&gt;=F$4)*('Project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G16" s="83" cm="1">
        <f t="array" ref="G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Portfolio'!$I$4:$I$42&lt;=G$4+6)*('Project Portfolio'!$J$4:$J$42&gt;=G$4)*('Project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H16" s="83" cm="1">
        <f t="array" ref="H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Portfolio'!$I$4:$I$42&lt;=H$4+6)*('Project Portfolio'!$J$4:$J$42&gt;=H$4)*('Project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I16" s="83" cm="1">
        <f t="array" ref="I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Portfolio'!$I$4:$I$42&lt;=I$4+6)*('Project Portfolio'!$J$4:$J$42&gt;=I$4)*('Project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J16" s="83" cm="1">
        <f t="array" ref="J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Portfolio'!$I$4:$I$42&lt;=J$4+6)*('Project Portfolio'!$J$4:$J$42&gt;=J$4)*('Project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K16" s="83" cm="1">
        <f t="array" ref="K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Portfolio'!$I$4:$I$42&lt;=K$4+6)*('Project Portfolio'!$J$4:$J$42&gt;=K$4)*('Project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L16" s="83" cm="1">
        <f t="array" ref="L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Portfolio'!$I$4:$I$42&lt;=L$4+6)*('Project Portfolio'!$J$4:$J$42&gt;=L$4)*('Project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M16" s="83" cm="1">
        <f t="array" ref="M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Portfolio'!$I$4:$I$42&lt;=M$4+6)*('Project Portfolio'!$J$4:$J$42&gt;=M$4)*('Project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N16" s="83" cm="1">
        <f t="array" ref="N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Portfolio'!$I$4:$I$42&lt;=N$4+6)*('Project Portfolio'!$J$4:$J$42&gt;=N$4)*('Project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O16" s="83" cm="1">
        <f t="array" ref="O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Portfolio'!$I$4:$I$42&lt;=O$4+6)*('Project Portfolio'!$J$4:$J$42&gt;=O$4)*('Project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P16" s="83" cm="1">
        <f t="array" ref="P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Portfolio'!$I$4:$I$42&lt;=P$4+6)*('Project Portfolio'!$J$4:$J$42&gt;=P$4)*('Project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Q16" s="83" cm="1">
        <f t="array" ref="Q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Portfolio'!$I$4:$I$42&lt;=Q$4+6)*('Project Portfolio'!$J$4:$J$42&gt;=Q$4)*('Project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R16" s="83" cm="1">
        <f t="array" ref="R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Portfolio'!$I$4:$I$42&lt;=R$4+6)*('Project Portfolio'!$J$4:$J$42&gt;=R$4)*('Project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S16" s="83" cm="1">
        <f t="array" ref="S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Portfolio'!$I$4:$I$42&lt;=S$4+6)*('Project Portfolio'!$J$4:$J$42&gt;=S$4)*('Project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T16" s="83" cm="1">
        <f t="array" ref="T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Portfolio'!$I$4:$I$42&lt;=T$4+6)*('Project Portfolio'!$J$4:$J$42&gt;=T$4)*('Project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U16" s="83" cm="1">
        <f t="array" ref="U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Portfolio'!$I$4:$I$42&lt;=U$4+6)*('Project Portfolio'!$J$4:$J$42&gt;=U$4)*('Project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0.92753623188405798</v>
      </c>
      <c r="V16" s="83" cm="1">
        <f t="array" ref="V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Portfolio'!$I$4:$I$42&lt;=V$4+6)*('Project Portfolio'!$J$4:$J$42&gt;=V$4)*('Project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</v>
      </c>
      <c r="W16" s="83" cm="1">
        <f t="array" ref="W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Portfolio'!$I$4:$I$42&lt;=W$4+6)*('Project Portfolio'!$J$4:$J$42&gt;=W$4)*('Project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</v>
      </c>
      <c r="X16" s="83" cm="1">
        <f t="array" ref="X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Portfolio'!$I$4:$I$42&lt;=X$4+6)*('Project Portfolio'!$J$4:$J$42&gt;=X$4)*('Project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</v>
      </c>
      <c r="Y16" s="83" cm="1">
        <f t="array" ref="Y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Portfolio'!$I$4:$I$42&lt;=Y$4+6)*('Project Portfolio'!$J$4:$J$42&gt;=Y$4)*('Project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</v>
      </c>
      <c r="Z16" s="83" cm="1">
        <f t="array" ref="Z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Portfolio'!$I$4:$I$42&lt;=Z$4+6)*('Project Portfolio'!$J$4:$J$42&gt;=Z$4)*('Project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</v>
      </c>
      <c r="AA16" s="83" cm="1">
        <f t="array" ref="AA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Portfolio'!$I$4:$I$42&lt;=AA$4+6)*('Project Portfolio'!$J$4:$J$42&gt;=AA$4)*('Project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</v>
      </c>
      <c r="AB16" s="83" cm="1">
        <f t="array" ref="AB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Portfolio'!$I$4:$I$42&lt;=AB$4+6)*('Project Portfolio'!$J$4:$J$42&gt;=AB$4)*('Project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</v>
      </c>
      <c r="AC16" s="83" cm="1">
        <f t="array" ref="AC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Portfolio'!$I$4:$I$42&lt;=AC$4+6)*('Project Portfolio'!$J$4:$J$42&gt;=AC$4)*('Project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</v>
      </c>
      <c r="AD16" s="83" cm="1">
        <f t="array" ref="AD16">IFERROR(SUMPRODUCT(('Project Portfolio'!$F$4:$F$42&lt;&gt;"✅ COMPLETE")*(('Project Portfolio'!$M$4:$M$42=$A16)+('Project Portfolio'!$N$4:$N$42=$A16)+('Project Portfolio'!$O$4:$O$42=$A16)+('Project Portfolio'!$P$4:$P$42=$A16)&gt;0)*('Project Portfolio'!$I$4:$I$42&gt;0)*('Project Portfolio'!$J$4:$J$42&gt;0)*('Project Portfolio'!$I$4:$I$42&lt;=AD$4+6)*('Project Portfolio'!$J$4:$J$42&gt;=AD$4)*('Project Portfolio'!$R$4:$R$42*IF($B16="Business Analyst",'Project Portfolio'!$T$4:$T$42,IF($B16="Functional",'Project Portfolio'!$U$4:$U$42,IF($B16="Technical",'Project Portfolio'!$V$4:$V$42,IF($B16="Developer",'Project Portfolio'!$W$4:$W$42,IF($B16="Infrastructure",'Project Portfolio'!$X$4:$X$42,IF($B16="DBA",'Project Portfolio'!$Y$4:$Y$42,IF($B16="Project Manager",'Project Portfolio'!$Z$4:$Z$42,IF($B16="WMS Consultant",'Project Portfolio'!$AA$4:$AA$42,0))))))))/IF(INT(('Project Portfolio'!$J$4:$J$42-'Project Portfolio'!$I$4:$I$42)/7+1)&gt;0,INT(('Project Portfolio'!$J$4:$J$42-'Project Portfolio'!$I$4:$I$42)/7+1),1)))/$D16,0)</f>
        <v>0</v>
      </c>
    </row>
    <row r="17" spans="1:30" ht="15" customHeight="1">
      <c r="A17" s="11" t="s">
        <v>85</v>
      </c>
      <c r="B17" s="11" t="s">
        <v>82</v>
      </c>
      <c r="C17" s="11" t="s">
        <v>23</v>
      </c>
      <c r="D17" s="15">
        <f>'Team Roster'!K16</f>
        <v>18.75</v>
      </c>
      <c r="E17" s="82" cm="1">
        <f t="array" ref="E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Portfolio'!$I$4:$I$42&lt;=E$4+6)*('Project Portfolio'!$J$4:$J$42&gt;=E$4)*('Project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F17" s="82" cm="1">
        <f t="array" ref="F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Portfolio'!$I$4:$I$42&lt;=F$4+6)*('Project Portfolio'!$J$4:$J$42&gt;=F$4)*('Project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G17" s="82" cm="1">
        <f t="array" ref="G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Portfolio'!$I$4:$I$42&lt;=G$4+6)*('Project Portfolio'!$J$4:$J$42&gt;=G$4)*('Project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H17" s="82" cm="1">
        <f t="array" ref="H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Portfolio'!$I$4:$I$42&lt;=H$4+6)*('Project Portfolio'!$J$4:$J$42&gt;=H$4)*('Project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I17" s="82" cm="1">
        <f t="array" ref="I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Portfolio'!$I$4:$I$42&lt;=I$4+6)*('Project Portfolio'!$J$4:$J$42&gt;=I$4)*('Project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J17" s="82" cm="1">
        <f t="array" ref="J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Portfolio'!$I$4:$I$42&lt;=J$4+6)*('Project Portfolio'!$J$4:$J$42&gt;=J$4)*('Project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K17" s="82" cm="1">
        <f t="array" ref="K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Portfolio'!$I$4:$I$42&lt;=K$4+6)*('Project Portfolio'!$J$4:$J$42&gt;=K$4)*('Project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L17" s="82" cm="1">
        <f t="array" ref="L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Portfolio'!$I$4:$I$42&lt;=L$4+6)*('Project Portfolio'!$J$4:$J$42&gt;=L$4)*('Project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M17" s="82" cm="1">
        <f t="array" ref="M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Portfolio'!$I$4:$I$42&lt;=M$4+6)*('Project Portfolio'!$J$4:$J$42&gt;=M$4)*('Project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N17" s="82" cm="1">
        <f t="array" ref="N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Portfolio'!$I$4:$I$42&lt;=N$4+6)*('Project Portfolio'!$J$4:$J$42&gt;=N$4)*('Project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O17" s="82" cm="1">
        <f t="array" ref="O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Portfolio'!$I$4:$I$42&lt;=O$4+6)*('Project Portfolio'!$J$4:$J$42&gt;=O$4)*('Project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P17" s="82" cm="1">
        <f t="array" ref="P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Portfolio'!$I$4:$I$42&lt;=P$4+6)*('Project Portfolio'!$J$4:$J$42&gt;=P$4)*('Project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Q17" s="82" cm="1">
        <f t="array" ref="Q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Portfolio'!$I$4:$I$42&lt;=Q$4+6)*('Project Portfolio'!$J$4:$J$42&gt;=Q$4)*('Project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R17" s="82" cm="1">
        <f t="array" ref="R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Portfolio'!$I$4:$I$42&lt;=R$4+6)*('Project Portfolio'!$J$4:$J$42&gt;=R$4)*('Project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S17" s="82" cm="1">
        <f t="array" ref="S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Portfolio'!$I$4:$I$42&lt;=S$4+6)*('Project Portfolio'!$J$4:$J$42&gt;=S$4)*('Project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T17" s="82" cm="1">
        <f t="array" ref="T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Portfolio'!$I$4:$I$42&lt;=T$4+6)*('Project Portfolio'!$J$4:$J$42&gt;=T$4)*('Project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U17" s="82" cm="1">
        <f t="array" ref="U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Portfolio'!$I$4:$I$42&lt;=U$4+6)*('Project Portfolio'!$J$4:$J$42&gt;=U$4)*('Project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V17" s="82" cm="1">
        <f t="array" ref="V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Portfolio'!$I$4:$I$42&lt;=V$4+6)*('Project Portfolio'!$J$4:$J$42&gt;=V$4)*('Project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W17" s="82" cm="1">
        <f t="array" ref="W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Portfolio'!$I$4:$I$42&lt;=W$4+6)*('Project Portfolio'!$J$4:$J$42&gt;=W$4)*('Project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X17" s="82" cm="1">
        <f t="array" ref="X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Portfolio'!$I$4:$I$42&lt;=X$4+6)*('Project Portfolio'!$J$4:$J$42&gt;=X$4)*('Project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Y17" s="82" cm="1">
        <f t="array" ref="Y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Portfolio'!$I$4:$I$42&lt;=Y$4+6)*('Project Portfolio'!$J$4:$J$42&gt;=Y$4)*('Project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Z17" s="82" cm="1">
        <f t="array" ref="Z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Portfolio'!$I$4:$I$42&lt;=Z$4+6)*('Project Portfolio'!$J$4:$J$42&gt;=Z$4)*('Project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AA17" s="82" cm="1">
        <f t="array" ref="AA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Portfolio'!$I$4:$I$42&lt;=AA$4+6)*('Project Portfolio'!$J$4:$J$42&gt;=AA$4)*('Project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AB17" s="82" cm="1">
        <f t="array" ref="AB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Portfolio'!$I$4:$I$42&lt;=AB$4+6)*('Project Portfolio'!$J$4:$J$42&gt;=AB$4)*('Project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AC17" s="82" cm="1">
        <f t="array" ref="AC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Portfolio'!$I$4:$I$42&lt;=AC$4+6)*('Project Portfolio'!$J$4:$J$42&gt;=AC$4)*('Project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  <c r="AD17" s="82" cm="1">
        <f t="array" ref="AD17">IFERROR(SUMPRODUCT(('Project Portfolio'!$F$4:$F$42&lt;&gt;"✅ COMPLETE")*(('Project Portfolio'!$M$4:$M$42=$A17)+('Project Portfolio'!$N$4:$N$42=$A17)+('Project Portfolio'!$O$4:$O$42=$A17)+('Project Portfolio'!$P$4:$P$42=$A17)&gt;0)*('Project Portfolio'!$I$4:$I$42&gt;0)*('Project Portfolio'!$J$4:$J$42&gt;0)*('Project Portfolio'!$I$4:$I$42&lt;=AD$4+6)*('Project Portfolio'!$J$4:$J$42&gt;=AD$4)*('Project Portfolio'!$R$4:$R$42*IF($B17="Business Analyst",'Project Portfolio'!$T$4:$T$42,IF($B17="Functional",'Project Portfolio'!$U$4:$U$42,IF($B17="Technical",'Project Portfolio'!$V$4:$V$42,IF($B17="Developer",'Project Portfolio'!$W$4:$W$42,IF($B17="Infrastructure",'Project Portfolio'!$X$4:$X$42,IF($B17="DBA",'Project Portfolio'!$Y$4:$Y$42,IF($B17="Project Manager",'Project Portfolio'!$Z$4:$Z$42,IF($B17="WMS Consultant",'Project Portfolio'!$AA$4:$AA$42,0))))))))/IF(INT(('Project Portfolio'!$J$4:$J$42-'Project Portfolio'!$I$4:$I$42)/7+1)&gt;0,INT(('Project Portfolio'!$J$4:$J$42-'Project Portfolio'!$I$4:$I$42)/7+1),1)))/$D17,0)</f>
        <v>0</v>
      </c>
    </row>
    <row r="18" spans="1:30" ht="15" customHeight="1">
      <c r="A18" s="18" t="s">
        <v>86</v>
      </c>
      <c r="B18" s="18" t="s">
        <v>79</v>
      </c>
      <c r="C18" s="18" t="s">
        <v>25</v>
      </c>
      <c r="D18" s="22">
        <f>'Team Roster'!K17</f>
        <v>17.5</v>
      </c>
      <c r="E18" s="83" cm="1">
        <f t="array" ref="E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Portfolio'!$I$4:$I$42&lt;=E$4+6)*('Project Portfolio'!$J$4:$J$42&gt;=E$4)*('Project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  <c r="F18" s="83" cm="1">
        <f t="array" ref="F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Portfolio'!$I$4:$I$42&lt;=F$4+6)*('Project Portfolio'!$J$4:$J$42&gt;=F$4)*('Project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  <c r="G18" s="83" cm="1">
        <f t="array" ref="G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Portfolio'!$I$4:$I$42&lt;=G$4+6)*('Project Portfolio'!$J$4:$J$42&gt;=G$4)*('Project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  <c r="H18" s="83" cm="1">
        <f t="array" ref="H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Portfolio'!$I$4:$I$42&lt;=H$4+6)*('Project Portfolio'!$J$4:$J$42&gt;=H$4)*('Project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  <c r="I18" s="83" cm="1">
        <f t="array" ref="I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Portfolio'!$I$4:$I$42&lt;=I$4+6)*('Project Portfolio'!$J$4:$J$42&gt;=I$4)*('Project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  <c r="J18" s="83" cm="1">
        <f t="array" ref="J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Portfolio'!$I$4:$I$42&lt;=J$4+6)*('Project Portfolio'!$J$4:$J$42&gt;=J$4)*('Project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  <c r="K18" s="83" cm="1">
        <f t="array" ref="K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Portfolio'!$I$4:$I$42&lt;=K$4+6)*('Project Portfolio'!$J$4:$J$42&gt;=K$4)*('Project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  <c r="L18" s="83" cm="1">
        <f t="array" ref="L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Portfolio'!$I$4:$I$42&lt;=L$4+6)*('Project Portfolio'!$J$4:$J$42&gt;=L$4)*('Project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8.5714285714285715E-2</v>
      </c>
      <c r="M18" s="83" cm="1">
        <f t="array" ref="M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Portfolio'!$I$4:$I$42&lt;=M$4+6)*('Project Portfolio'!$J$4:$J$42&gt;=M$4)*('Project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8.5714285714285715E-2</v>
      </c>
      <c r="N18" s="83" cm="1">
        <f t="array" ref="N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Portfolio'!$I$4:$I$42&lt;=N$4+6)*('Project Portfolio'!$J$4:$J$42&gt;=N$4)*('Project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8.5714285714285715E-2</v>
      </c>
      <c r="O18" s="83" cm="1">
        <f t="array" ref="O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Portfolio'!$I$4:$I$42&lt;=O$4+6)*('Project Portfolio'!$J$4:$J$42&gt;=O$4)*('Project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8.5714285714285715E-2</v>
      </c>
      <c r="P18" s="83" cm="1">
        <f t="array" ref="P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Portfolio'!$I$4:$I$42&lt;=P$4+6)*('Project Portfolio'!$J$4:$J$42&gt;=P$4)*('Project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8.5714285714285715E-2</v>
      </c>
      <c r="Q18" s="83" cm="1">
        <f t="array" ref="Q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Portfolio'!$I$4:$I$42&lt;=Q$4+6)*('Project Portfolio'!$J$4:$J$42&gt;=Q$4)*('Project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8.5714285714285715E-2</v>
      </c>
      <c r="R18" s="83" cm="1">
        <f t="array" ref="R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Portfolio'!$I$4:$I$42&lt;=R$4+6)*('Project Portfolio'!$J$4:$J$42&gt;=R$4)*('Project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8.5714285714285715E-2</v>
      </c>
      <c r="S18" s="83" cm="1">
        <f t="array" ref="S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Portfolio'!$I$4:$I$42&lt;=S$4+6)*('Project Portfolio'!$J$4:$J$42&gt;=S$4)*('Project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8.5714285714285715E-2</v>
      </c>
      <c r="T18" s="83" cm="1">
        <f t="array" ref="T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Portfolio'!$I$4:$I$42&lt;=T$4+6)*('Project Portfolio'!$J$4:$J$42&gt;=T$4)*('Project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8.5714285714285715E-2</v>
      </c>
      <c r="U18" s="83" cm="1">
        <f t="array" ref="U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Portfolio'!$I$4:$I$42&lt;=U$4+6)*('Project Portfolio'!$J$4:$J$42&gt;=U$4)*('Project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  <c r="V18" s="83" cm="1">
        <f t="array" ref="V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Portfolio'!$I$4:$I$42&lt;=V$4+6)*('Project Portfolio'!$J$4:$J$42&gt;=V$4)*('Project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  <c r="W18" s="83" cm="1">
        <f t="array" ref="W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Portfolio'!$I$4:$I$42&lt;=W$4+6)*('Project Portfolio'!$J$4:$J$42&gt;=W$4)*('Project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  <c r="X18" s="83" cm="1">
        <f t="array" ref="X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Portfolio'!$I$4:$I$42&lt;=X$4+6)*('Project Portfolio'!$J$4:$J$42&gt;=X$4)*('Project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  <c r="Y18" s="83" cm="1">
        <f t="array" ref="Y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Portfolio'!$I$4:$I$42&lt;=Y$4+6)*('Project Portfolio'!$J$4:$J$42&gt;=Y$4)*('Project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  <c r="Z18" s="83" cm="1">
        <f t="array" ref="Z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Portfolio'!$I$4:$I$42&lt;=Z$4+6)*('Project Portfolio'!$J$4:$J$42&gt;=Z$4)*('Project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  <c r="AA18" s="83" cm="1">
        <f t="array" ref="AA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Portfolio'!$I$4:$I$42&lt;=AA$4+6)*('Project Portfolio'!$J$4:$J$42&gt;=AA$4)*('Project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  <c r="AB18" s="83" cm="1">
        <f t="array" ref="AB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Portfolio'!$I$4:$I$42&lt;=AB$4+6)*('Project Portfolio'!$J$4:$J$42&gt;=AB$4)*('Project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  <c r="AC18" s="83" cm="1">
        <f t="array" ref="AC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Portfolio'!$I$4:$I$42&lt;=AC$4+6)*('Project Portfolio'!$J$4:$J$42&gt;=AC$4)*('Project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  <c r="AD18" s="83" cm="1">
        <f t="array" ref="AD18">IFERROR(SUMPRODUCT(('Project Portfolio'!$F$4:$F$42&lt;&gt;"✅ COMPLETE")*(('Project Portfolio'!$M$4:$M$42=$A18)+('Project Portfolio'!$N$4:$N$42=$A18)+('Project Portfolio'!$O$4:$O$42=$A18)+('Project Portfolio'!$P$4:$P$42=$A18)&gt;0)*('Project Portfolio'!$I$4:$I$42&gt;0)*('Project Portfolio'!$J$4:$J$42&gt;0)*('Project Portfolio'!$I$4:$I$42&lt;=AD$4+6)*('Project Portfolio'!$J$4:$J$42&gt;=AD$4)*('Project Portfolio'!$R$4:$R$42*IF($B18="Business Analyst",'Project Portfolio'!$T$4:$T$42,IF($B18="Functional",'Project Portfolio'!$U$4:$U$42,IF($B18="Technical",'Project Portfolio'!$V$4:$V$42,IF($B18="Developer",'Project Portfolio'!$W$4:$W$42,IF($B18="Infrastructure",'Project Portfolio'!$X$4:$X$42,IF($B18="DBA",'Project Portfolio'!$Y$4:$Y$42,IF($B18="Project Manager",'Project Portfolio'!$Z$4:$Z$42,IF($B18="WMS Consultant",'Project Portfolio'!$AA$4:$AA$42,0))))))))/IF(INT(('Project Portfolio'!$J$4:$J$42-'Project Portfolio'!$I$4:$I$42)/7+1)&gt;0,INT(('Project Portfolio'!$J$4:$J$42-'Project Portfolio'!$I$4:$I$42)/7+1),1)))/$D18,0)</f>
        <v>0</v>
      </c>
    </row>
    <row r="19" spans="1:30" ht="15" customHeight="1">
      <c r="A19" s="11" t="s">
        <v>87</v>
      </c>
      <c r="B19" s="11" t="s">
        <v>79</v>
      </c>
      <c r="C19" s="11" t="s">
        <v>25</v>
      </c>
      <c r="D19" s="15">
        <f>'Team Roster'!K18</f>
        <v>28</v>
      </c>
      <c r="E19" s="82" cm="1">
        <f t="array" ref="E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Portfolio'!$I$4:$I$42&lt;=E$4+6)*('Project Portfolio'!$J$4:$J$42&gt;=E$4)*('Project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F19" s="82" cm="1">
        <f t="array" ref="F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Portfolio'!$I$4:$I$42&lt;=F$4+6)*('Project Portfolio'!$J$4:$J$42&gt;=F$4)*('Project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G19" s="82" cm="1">
        <f t="array" ref="G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Portfolio'!$I$4:$I$42&lt;=G$4+6)*('Project Portfolio'!$J$4:$J$42&gt;=G$4)*('Project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H19" s="82" cm="1">
        <f t="array" ref="H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Portfolio'!$I$4:$I$42&lt;=H$4+6)*('Project Portfolio'!$J$4:$J$42&gt;=H$4)*('Project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I19" s="82" cm="1">
        <f t="array" ref="I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Portfolio'!$I$4:$I$42&lt;=I$4+6)*('Project Portfolio'!$J$4:$J$42&gt;=I$4)*('Project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J19" s="82" cm="1">
        <f t="array" ref="J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Portfolio'!$I$4:$I$42&lt;=J$4+6)*('Project Portfolio'!$J$4:$J$42&gt;=J$4)*('Project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K19" s="82" cm="1">
        <f t="array" ref="K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Portfolio'!$I$4:$I$42&lt;=K$4+6)*('Project Portfolio'!$J$4:$J$42&gt;=K$4)*('Project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L19" s="82" cm="1">
        <f t="array" ref="L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Portfolio'!$I$4:$I$42&lt;=L$4+6)*('Project Portfolio'!$J$4:$J$42&gt;=L$4)*('Project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M19" s="82" cm="1">
        <f t="array" ref="M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Portfolio'!$I$4:$I$42&lt;=M$4+6)*('Project Portfolio'!$J$4:$J$42&gt;=M$4)*('Project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N19" s="82" cm="1">
        <f t="array" ref="N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Portfolio'!$I$4:$I$42&lt;=N$4+6)*('Project Portfolio'!$J$4:$J$42&gt;=N$4)*('Project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O19" s="82" cm="1">
        <f t="array" ref="O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Portfolio'!$I$4:$I$42&lt;=O$4+6)*('Project Portfolio'!$J$4:$J$42&gt;=O$4)*('Project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P19" s="82" cm="1">
        <f t="array" ref="P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Portfolio'!$I$4:$I$42&lt;=P$4+6)*('Project Portfolio'!$J$4:$J$42&gt;=P$4)*('Project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Q19" s="82" cm="1">
        <f t="array" ref="Q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Portfolio'!$I$4:$I$42&lt;=Q$4+6)*('Project Portfolio'!$J$4:$J$42&gt;=Q$4)*('Project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R19" s="82" cm="1">
        <f t="array" ref="R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Portfolio'!$I$4:$I$42&lt;=R$4+6)*('Project Portfolio'!$J$4:$J$42&gt;=R$4)*('Project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S19" s="82" cm="1">
        <f t="array" ref="S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Portfolio'!$I$4:$I$42&lt;=S$4+6)*('Project Portfolio'!$J$4:$J$42&gt;=S$4)*('Project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T19" s="82" cm="1">
        <f t="array" ref="T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Portfolio'!$I$4:$I$42&lt;=T$4+6)*('Project Portfolio'!$J$4:$J$42&gt;=T$4)*('Project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U19" s="82" cm="1">
        <f t="array" ref="U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Portfolio'!$I$4:$I$42&lt;=U$4+6)*('Project Portfolio'!$J$4:$J$42&gt;=U$4)*('Project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9.9378881987577633E-2</v>
      </c>
      <c r="V19" s="82" cm="1">
        <f t="array" ref="V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Portfolio'!$I$4:$I$42&lt;=V$4+6)*('Project Portfolio'!$J$4:$J$42&gt;=V$4)*('Project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0</v>
      </c>
      <c r="W19" s="82" cm="1">
        <f t="array" ref="W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Portfolio'!$I$4:$I$42&lt;=W$4+6)*('Project Portfolio'!$J$4:$J$42&gt;=W$4)*('Project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0</v>
      </c>
      <c r="X19" s="82" cm="1">
        <f t="array" ref="X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Portfolio'!$I$4:$I$42&lt;=X$4+6)*('Project Portfolio'!$J$4:$J$42&gt;=X$4)*('Project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0</v>
      </c>
      <c r="Y19" s="82" cm="1">
        <f t="array" ref="Y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Portfolio'!$I$4:$I$42&lt;=Y$4+6)*('Project Portfolio'!$J$4:$J$42&gt;=Y$4)*('Project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0</v>
      </c>
      <c r="Z19" s="82" cm="1">
        <f t="array" ref="Z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Portfolio'!$I$4:$I$42&lt;=Z$4+6)*('Project Portfolio'!$J$4:$J$42&gt;=Z$4)*('Project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0</v>
      </c>
      <c r="AA19" s="82" cm="1">
        <f t="array" ref="AA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Portfolio'!$I$4:$I$42&lt;=AA$4+6)*('Project Portfolio'!$J$4:$J$42&gt;=AA$4)*('Project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0</v>
      </c>
      <c r="AB19" s="82" cm="1">
        <f t="array" ref="AB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Portfolio'!$I$4:$I$42&lt;=AB$4+6)*('Project Portfolio'!$J$4:$J$42&gt;=AB$4)*('Project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0</v>
      </c>
      <c r="AC19" s="82" cm="1">
        <f t="array" ref="AC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Portfolio'!$I$4:$I$42&lt;=AC$4+6)*('Project Portfolio'!$J$4:$J$42&gt;=AC$4)*('Project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0</v>
      </c>
      <c r="AD19" s="82" cm="1">
        <f t="array" ref="AD19">IFERROR(SUMPRODUCT(('Project Portfolio'!$F$4:$F$42&lt;&gt;"✅ COMPLETE")*(('Project Portfolio'!$M$4:$M$42=$A19)+('Project Portfolio'!$N$4:$N$42=$A19)+('Project Portfolio'!$O$4:$O$42=$A19)+('Project Portfolio'!$P$4:$P$42=$A19)&gt;0)*('Project Portfolio'!$I$4:$I$42&gt;0)*('Project Portfolio'!$J$4:$J$42&gt;0)*('Project Portfolio'!$I$4:$I$42&lt;=AD$4+6)*('Project Portfolio'!$J$4:$J$42&gt;=AD$4)*('Project Portfolio'!$R$4:$R$42*IF($B19="Business Analyst",'Project Portfolio'!$T$4:$T$42,IF($B19="Functional",'Project Portfolio'!$U$4:$U$42,IF($B19="Technical",'Project Portfolio'!$V$4:$V$42,IF($B19="Developer",'Project Portfolio'!$W$4:$W$42,IF($B19="Infrastructure",'Project Portfolio'!$X$4:$X$42,IF($B19="DBA",'Project Portfolio'!$Y$4:$Y$42,IF($B19="Project Manager",'Project Portfolio'!$Z$4:$Z$42,IF($B19="WMS Consultant",'Project Portfolio'!$AA$4:$AA$42,0))))))))/IF(INT(('Project Portfolio'!$J$4:$J$42-'Project Portfolio'!$I$4:$I$42)/7+1)&gt;0,INT(('Project Portfolio'!$J$4:$J$42-'Project Portfolio'!$I$4:$I$42)/7+1),1)))/$D19,0)</f>
        <v>0</v>
      </c>
    </row>
    <row r="20" spans="1:30" ht="15" customHeight="1">
      <c r="A20" s="18" t="s">
        <v>88</v>
      </c>
      <c r="B20" s="18" t="s">
        <v>79</v>
      </c>
      <c r="C20" s="18" t="s">
        <v>25</v>
      </c>
      <c r="D20" s="22">
        <f>'Team Roster'!K19</f>
        <v>17.5</v>
      </c>
      <c r="E20" s="83" cm="1">
        <f t="array" ref="E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Portfolio'!$I$4:$I$42&lt;=E$4+6)*('Project Portfolio'!$J$4:$J$42&gt;=E$4)*('Project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F20" s="83" cm="1">
        <f t="array" ref="F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Portfolio'!$I$4:$I$42&lt;=F$4+6)*('Project Portfolio'!$J$4:$J$42&gt;=F$4)*('Project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G20" s="83" cm="1">
        <f t="array" ref="G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Portfolio'!$I$4:$I$42&lt;=G$4+6)*('Project Portfolio'!$J$4:$J$42&gt;=G$4)*('Project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H20" s="83" cm="1">
        <f t="array" ref="H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Portfolio'!$I$4:$I$42&lt;=H$4+6)*('Project Portfolio'!$J$4:$J$42&gt;=H$4)*('Project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I20" s="83" cm="1">
        <f t="array" ref="I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Portfolio'!$I$4:$I$42&lt;=I$4+6)*('Project Portfolio'!$J$4:$J$42&gt;=I$4)*('Project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J20" s="83" cm="1">
        <f t="array" ref="J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Portfolio'!$I$4:$I$42&lt;=J$4+6)*('Project Portfolio'!$J$4:$J$42&gt;=J$4)*('Project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K20" s="83" cm="1">
        <f t="array" ref="K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Portfolio'!$I$4:$I$42&lt;=K$4+6)*('Project Portfolio'!$J$4:$J$42&gt;=K$4)*('Project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L20" s="83" cm="1">
        <f t="array" ref="L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Portfolio'!$I$4:$I$42&lt;=L$4+6)*('Project Portfolio'!$J$4:$J$42&gt;=L$4)*('Project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M20" s="83" cm="1">
        <f t="array" ref="M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Portfolio'!$I$4:$I$42&lt;=M$4+6)*('Project Portfolio'!$J$4:$J$42&gt;=M$4)*('Project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N20" s="83" cm="1">
        <f t="array" ref="N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Portfolio'!$I$4:$I$42&lt;=N$4+6)*('Project Portfolio'!$J$4:$J$42&gt;=N$4)*('Project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O20" s="83" cm="1">
        <f t="array" ref="O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Portfolio'!$I$4:$I$42&lt;=O$4+6)*('Project Portfolio'!$J$4:$J$42&gt;=O$4)*('Project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P20" s="83" cm="1">
        <f t="array" ref="P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Portfolio'!$I$4:$I$42&lt;=P$4+6)*('Project Portfolio'!$J$4:$J$42&gt;=P$4)*('Project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Q20" s="83" cm="1">
        <f t="array" ref="Q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Portfolio'!$I$4:$I$42&lt;=Q$4+6)*('Project Portfolio'!$J$4:$J$42&gt;=Q$4)*('Project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R20" s="83" cm="1">
        <f t="array" ref="R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Portfolio'!$I$4:$I$42&lt;=R$4+6)*('Project Portfolio'!$J$4:$J$42&gt;=R$4)*('Project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S20" s="83" cm="1">
        <f t="array" ref="S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Portfolio'!$I$4:$I$42&lt;=S$4+6)*('Project Portfolio'!$J$4:$J$42&gt;=S$4)*('Project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T20" s="83" cm="1">
        <f t="array" ref="T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Portfolio'!$I$4:$I$42&lt;=T$4+6)*('Project Portfolio'!$J$4:$J$42&gt;=T$4)*('Project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U20" s="83" cm="1">
        <f t="array" ref="U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Portfolio'!$I$4:$I$42&lt;=U$4+6)*('Project Portfolio'!$J$4:$J$42&gt;=U$4)*('Project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V20" s="83" cm="1">
        <f t="array" ref="V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Portfolio'!$I$4:$I$42&lt;=V$4+6)*('Project Portfolio'!$J$4:$J$42&gt;=V$4)*('Project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W20" s="83" cm="1">
        <f t="array" ref="W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Portfolio'!$I$4:$I$42&lt;=W$4+6)*('Project Portfolio'!$J$4:$J$42&gt;=W$4)*('Project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X20" s="83" cm="1">
        <f t="array" ref="X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Portfolio'!$I$4:$I$42&lt;=X$4+6)*('Project Portfolio'!$J$4:$J$42&gt;=X$4)*('Project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Y20" s="83" cm="1">
        <f t="array" ref="Y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Portfolio'!$I$4:$I$42&lt;=Y$4+6)*('Project Portfolio'!$J$4:$J$42&gt;=Y$4)*('Project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Z20" s="83" cm="1">
        <f t="array" ref="Z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Portfolio'!$I$4:$I$42&lt;=Z$4+6)*('Project Portfolio'!$J$4:$J$42&gt;=Z$4)*('Project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AA20" s="83" cm="1">
        <f t="array" ref="AA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Portfolio'!$I$4:$I$42&lt;=AA$4+6)*('Project Portfolio'!$J$4:$J$42&gt;=AA$4)*('Project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AB20" s="83" cm="1">
        <f t="array" ref="AB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Portfolio'!$I$4:$I$42&lt;=AB$4+6)*('Project Portfolio'!$J$4:$J$42&gt;=AB$4)*('Project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AC20" s="83" cm="1">
        <f t="array" ref="AC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Portfolio'!$I$4:$I$42&lt;=AC$4+6)*('Project Portfolio'!$J$4:$J$42&gt;=AC$4)*('Project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  <c r="AD20" s="83" cm="1">
        <f t="array" ref="AD20">IFERROR(SUMPRODUCT(('Project Portfolio'!$F$4:$F$42&lt;&gt;"✅ COMPLETE")*(('Project Portfolio'!$M$4:$M$42=$A20)+('Project Portfolio'!$N$4:$N$42=$A20)+('Project Portfolio'!$O$4:$O$42=$A20)+('Project Portfolio'!$P$4:$P$42=$A20)&gt;0)*('Project Portfolio'!$I$4:$I$42&gt;0)*('Project Portfolio'!$J$4:$J$42&gt;0)*('Project Portfolio'!$I$4:$I$42&lt;=AD$4+6)*('Project Portfolio'!$J$4:$J$42&gt;=AD$4)*('Project Portfolio'!$R$4:$R$42*IF($B20="Business Analyst",'Project Portfolio'!$T$4:$T$42,IF($B20="Functional",'Project Portfolio'!$U$4:$U$42,IF($B20="Technical",'Project Portfolio'!$V$4:$V$42,IF($B20="Developer",'Project Portfolio'!$W$4:$W$42,IF($B20="Infrastructure",'Project Portfolio'!$X$4:$X$42,IF($B20="DBA",'Project Portfolio'!$Y$4:$Y$42,IF($B20="Project Manager",'Project Portfolio'!$Z$4:$Z$42,IF($B20="WMS Consultant",'Project Portfolio'!$AA$4:$AA$42,0))))))))/IF(INT(('Project Portfolio'!$J$4:$J$42-'Project Portfolio'!$I$4:$I$42)/7+1)&gt;0,INT(('Project Portfolio'!$J$4:$J$42-'Project Portfolio'!$I$4:$I$42)/7+1),1)))/$D20,0)</f>
        <v>0</v>
      </c>
    </row>
    <row r="21" spans="1:30" ht="15" customHeight="1">
      <c r="A21" s="11" t="s">
        <v>89</v>
      </c>
      <c r="B21" s="11" t="s">
        <v>90</v>
      </c>
      <c r="C21" s="11" t="s">
        <v>29</v>
      </c>
      <c r="D21" s="15">
        <f>'Team Roster'!K20</f>
        <v>17.5</v>
      </c>
      <c r="E21" s="82" cm="1">
        <f t="array" ref="E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Portfolio'!$I$4:$I$42&lt;=E$4+6)*('Project Portfolio'!$J$4:$J$42&gt;=E$4)*('Project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</v>
      </c>
      <c r="F21" s="82" cm="1">
        <f t="array" ref="F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Portfolio'!$I$4:$I$42&lt;=F$4+6)*('Project Portfolio'!$J$4:$J$42&gt;=F$4)*('Project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</v>
      </c>
      <c r="G21" s="82" cm="1">
        <f t="array" ref="G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Portfolio'!$I$4:$I$42&lt;=G$4+6)*('Project Portfolio'!$J$4:$J$42&gt;=G$4)*('Project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</v>
      </c>
      <c r="H21" s="82" cm="1">
        <f t="array" ref="H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Portfolio'!$I$4:$I$42&lt;=H$4+6)*('Project Portfolio'!$J$4:$J$42&gt;=H$4)*('Project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</v>
      </c>
      <c r="I21" s="82" cm="1">
        <f t="array" ref="I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Portfolio'!$I$4:$I$42&lt;=I$4+6)*('Project Portfolio'!$J$4:$J$42&gt;=I$4)*('Project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</v>
      </c>
      <c r="J21" s="82" cm="1">
        <f t="array" ref="J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Portfolio'!$I$4:$I$42&lt;=J$4+6)*('Project Portfolio'!$J$4:$J$42&gt;=J$4)*('Project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</v>
      </c>
      <c r="K21" s="82" cm="1">
        <f t="array" ref="K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Portfolio'!$I$4:$I$42&lt;=K$4+6)*('Project Portfolio'!$J$4:$J$42&gt;=K$4)*('Project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L21" s="82" cm="1">
        <f t="array" ref="L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Portfolio'!$I$4:$I$42&lt;=L$4+6)*('Project Portfolio'!$J$4:$J$42&gt;=L$4)*('Project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M21" s="82" cm="1">
        <f t="array" ref="M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Portfolio'!$I$4:$I$42&lt;=M$4+6)*('Project Portfolio'!$J$4:$J$42&gt;=M$4)*('Project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N21" s="82" cm="1">
        <f t="array" ref="N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Portfolio'!$I$4:$I$42&lt;=N$4+6)*('Project Portfolio'!$J$4:$J$42&gt;=N$4)*('Project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O21" s="82" cm="1">
        <f t="array" ref="O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Portfolio'!$I$4:$I$42&lt;=O$4+6)*('Project Portfolio'!$J$4:$J$42&gt;=O$4)*('Project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P21" s="82" cm="1">
        <f t="array" ref="P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Portfolio'!$I$4:$I$42&lt;=P$4+6)*('Project Portfolio'!$J$4:$J$42&gt;=P$4)*('Project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Q21" s="82" cm="1">
        <f t="array" ref="Q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Portfolio'!$I$4:$I$42&lt;=Q$4+6)*('Project Portfolio'!$J$4:$J$42&gt;=Q$4)*('Project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R21" s="82" cm="1">
        <f t="array" ref="R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Portfolio'!$I$4:$I$42&lt;=R$4+6)*('Project Portfolio'!$J$4:$J$42&gt;=R$4)*('Project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S21" s="82" cm="1">
        <f t="array" ref="S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Portfolio'!$I$4:$I$42&lt;=S$4+6)*('Project Portfolio'!$J$4:$J$42&gt;=S$4)*('Project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T21" s="82" cm="1">
        <f t="array" ref="T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Portfolio'!$I$4:$I$42&lt;=T$4+6)*('Project Portfolio'!$J$4:$J$42&gt;=T$4)*('Project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U21" s="82" cm="1">
        <f t="array" ref="U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Portfolio'!$I$4:$I$42&lt;=U$4+6)*('Project Portfolio'!$J$4:$J$42&gt;=U$4)*('Project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V21" s="82" cm="1">
        <f t="array" ref="V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Portfolio'!$I$4:$I$42&lt;=V$4+6)*('Project Portfolio'!$J$4:$J$42&gt;=V$4)*('Project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W21" s="82" cm="1">
        <f t="array" ref="W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Portfolio'!$I$4:$I$42&lt;=W$4+6)*('Project Portfolio'!$J$4:$J$42&gt;=W$4)*('Project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X21" s="82" cm="1">
        <f t="array" ref="X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Portfolio'!$I$4:$I$42&lt;=X$4+6)*('Project Portfolio'!$J$4:$J$42&gt;=X$4)*('Project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Y21" s="82" cm="1">
        <f t="array" ref="Y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Portfolio'!$I$4:$I$42&lt;=Y$4+6)*('Project Portfolio'!$J$4:$J$42&gt;=Y$4)*('Project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Z21" s="82" cm="1">
        <f t="array" ref="Z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Portfolio'!$I$4:$I$42&lt;=Z$4+6)*('Project Portfolio'!$J$4:$J$42&gt;=Z$4)*('Project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AA21" s="82" cm="1">
        <f t="array" ref="AA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Portfolio'!$I$4:$I$42&lt;=AA$4+6)*('Project Portfolio'!$J$4:$J$42&gt;=AA$4)*('Project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AB21" s="82" cm="1">
        <f t="array" ref="AB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Portfolio'!$I$4:$I$42&lt;=AB$4+6)*('Project Portfolio'!$J$4:$J$42&gt;=AB$4)*('Project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AC21" s="82" cm="1">
        <f t="array" ref="AC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Portfolio'!$I$4:$I$42&lt;=AC$4+6)*('Project Portfolio'!$J$4:$J$42&gt;=AC$4)*('Project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  <c r="AD21" s="82" cm="1">
        <f t="array" ref="AD21">IFERROR(SUMPRODUCT(('Project Portfolio'!$F$4:$F$42&lt;&gt;"✅ COMPLETE")*(('Project Portfolio'!$M$4:$M$42=$A21)+('Project Portfolio'!$N$4:$N$42=$A21)+('Project Portfolio'!$O$4:$O$42=$A21)+('Project Portfolio'!$P$4:$P$42=$A21)&gt;0)*('Project Portfolio'!$I$4:$I$42&gt;0)*('Project Portfolio'!$J$4:$J$42&gt;0)*('Project Portfolio'!$I$4:$I$42&lt;=AD$4+6)*('Project Portfolio'!$J$4:$J$42&gt;=AD$4)*('Project Portfolio'!$R$4:$R$42*IF($B21="Business Analyst",'Project Portfolio'!$T$4:$T$42,IF($B21="Functional",'Project Portfolio'!$U$4:$U$42,IF($B21="Technical",'Project Portfolio'!$V$4:$V$42,IF($B21="Developer",'Project Portfolio'!$W$4:$W$42,IF($B21="Infrastructure",'Project Portfolio'!$X$4:$X$42,IF($B21="DBA",'Project Portfolio'!$Y$4:$Y$42,IF($B21="Project Manager",'Project Portfolio'!$Z$4:$Z$42,IF($B21="WMS Consultant",'Project Portfolio'!$AA$4:$AA$42,0))))))))/IF(INT(('Project Portfolio'!$J$4:$J$42-'Project Portfolio'!$I$4:$I$42)/7+1)&gt;0,INT(('Project Portfolio'!$J$4:$J$42-'Project Portfolio'!$I$4:$I$42)/7+1),1)))/$D21,0)</f>
        <v>0.17142857142857143</v>
      </c>
    </row>
    <row r="22" spans="1:30" ht="15" customHeight="1">
      <c r="A22" s="18" t="s">
        <v>91</v>
      </c>
      <c r="B22" s="18" t="s">
        <v>90</v>
      </c>
      <c r="C22" s="18" t="s">
        <v>29</v>
      </c>
      <c r="D22" s="22">
        <f>'Team Roster'!K21</f>
        <v>26.25</v>
      </c>
      <c r="E22" s="83" cm="1">
        <f t="array" ref="E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Portfolio'!$I$4:$I$42&lt;=E$4+6)*('Project Portfolio'!$J$4:$J$42&gt;=E$4)*('Project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F22" s="83" cm="1">
        <f t="array" ref="F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Portfolio'!$I$4:$I$42&lt;=F$4+6)*('Project Portfolio'!$J$4:$J$42&gt;=F$4)*('Project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G22" s="83" cm="1">
        <f t="array" ref="G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Portfolio'!$I$4:$I$42&lt;=G$4+6)*('Project Portfolio'!$J$4:$J$42&gt;=G$4)*('Project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H22" s="83" cm="1">
        <f t="array" ref="H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Portfolio'!$I$4:$I$42&lt;=H$4+6)*('Project Portfolio'!$J$4:$J$42&gt;=H$4)*('Project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I22" s="83" cm="1">
        <f t="array" ref="I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Portfolio'!$I$4:$I$42&lt;=I$4+6)*('Project Portfolio'!$J$4:$J$42&gt;=I$4)*('Project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J22" s="83" cm="1">
        <f t="array" ref="J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Portfolio'!$I$4:$I$42&lt;=J$4+6)*('Project Portfolio'!$J$4:$J$42&gt;=J$4)*('Project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K22" s="83" cm="1">
        <f t="array" ref="K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Portfolio'!$I$4:$I$42&lt;=K$4+6)*('Project Portfolio'!$J$4:$J$42&gt;=K$4)*('Project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L22" s="83" cm="1">
        <f t="array" ref="L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Portfolio'!$I$4:$I$42&lt;=L$4+6)*('Project Portfolio'!$J$4:$J$42&gt;=L$4)*('Project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M22" s="83" cm="1">
        <f t="array" ref="M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Portfolio'!$I$4:$I$42&lt;=M$4+6)*('Project Portfolio'!$J$4:$J$42&gt;=M$4)*('Project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N22" s="83" cm="1">
        <f t="array" ref="N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Portfolio'!$I$4:$I$42&lt;=N$4+6)*('Project Portfolio'!$J$4:$J$42&gt;=N$4)*('Project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O22" s="83" cm="1">
        <f t="array" ref="O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Portfolio'!$I$4:$I$42&lt;=O$4+6)*('Project Portfolio'!$J$4:$J$42&gt;=O$4)*('Project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P22" s="83" cm="1">
        <f t="array" ref="P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Portfolio'!$I$4:$I$42&lt;=P$4+6)*('Project Portfolio'!$J$4:$J$42&gt;=P$4)*('Project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Q22" s="83" cm="1">
        <f t="array" ref="Q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Portfolio'!$I$4:$I$42&lt;=Q$4+6)*('Project Portfolio'!$J$4:$J$42&gt;=Q$4)*('Project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R22" s="83" cm="1">
        <f t="array" ref="R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Portfolio'!$I$4:$I$42&lt;=R$4+6)*('Project Portfolio'!$J$4:$J$42&gt;=R$4)*('Project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S22" s="83" cm="1">
        <f t="array" ref="S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Portfolio'!$I$4:$I$42&lt;=S$4+6)*('Project Portfolio'!$J$4:$J$42&gt;=S$4)*('Project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T22" s="83" cm="1">
        <f t="array" ref="T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Portfolio'!$I$4:$I$42&lt;=T$4+6)*('Project Portfolio'!$J$4:$J$42&gt;=T$4)*('Project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U22" s="83" cm="1">
        <f t="array" ref="U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Portfolio'!$I$4:$I$42&lt;=U$4+6)*('Project Portfolio'!$J$4:$J$42&gt;=U$4)*('Project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V22" s="83" cm="1">
        <f t="array" ref="V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Portfolio'!$I$4:$I$42&lt;=V$4+6)*('Project Portfolio'!$J$4:$J$42&gt;=V$4)*('Project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W22" s="83" cm="1">
        <f t="array" ref="W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Portfolio'!$I$4:$I$42&lt;=W$4+6)*('Project Portfolio'!$J$4:$J$42&gt;=W$4)*('Project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X22" s="83" cm="1">
        <f t="array" ref="X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Portfolio'!$I$4:$I$42&lt;=X$4+6)*('Project Portfolio'!$J$4:$J$42&gt;=X$4)*('Project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Y22" s="83" cm="1">
        <f t="array" ref="Y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Portfolio'!$I$4:$I$42&lt;=Y$4+6)*('Project Portfolio'!$J$4:$J$42&gt;=Y$4)*('Project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Z22" s="83" cm="1">
        <f t="array" ref="Z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Portfolio'!$I$4:$I$42&lt;=Z$4+6)*('Project Portfolio'!$J$4:$J$42&gt;=Z$4)*('Project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AA22" s="83" cm="1">
        <f t="array" ref="AA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Portfolio'!$I$4:$I$42&lt;=AA$4+6)*('Project Portfolio'!$J$4:$J$42&gt;=AA$4)*('Project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AB22" s="83" cm="1">
        <f t="array" ref="AB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Portfolio'!$I$4:$I$42&lt;=AB$4+6)*('Project Portfolio'!$J$4:$J$42&gt;=AB$4)*('Project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AC22" s="83" cm="1">
        <f t="array" ref="AC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Portfolio'!$I$4:$I$42&lt;=AC$4+6)*('Project Portfolio'!$J$4:$J$42&gt;=AC$4)*('Project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  <c r="AD22" s="83" cm="1">
        <f t="array" ref="AD22">IFERROR(SUMPRODUCT(('Project Portfolio'!$F$4:$F$42&lt;&gt;"✅ COMPLETE")*(('Project Portfolio'!$M$4:$M$42=$A22)+('Project Portfolio'!$N$4:$N$42=$A22)+('Project Portfolio'!$O$4:$O$42=$A22)+('Project Portfolio'!$P$4:$P$42=$A22)&gt;0)*('Project Portfolio'!$I$4:$I$42&gt;0)*('Project Portfolio'!$J$4:$J$42&gt;0)*('Project Portfolio'!$I$4:$I$42&lt;=AD$4+6)*('Project Portfolio'!$J$4:$J$42&gt;=AD$4)*('Project Portfolio'!$R$4:$R$42*IF($B22="Business Analyst",'Project Portfolio'!$T$4:$T$42,IF($B22="Functional",'Project Portfolio'!$U$4:$U$42,IF($B22="Technical",'Project Portfolio'!$V$4:$V$42,IF($B22="Developer",'Project Portfolio'!$W$4:$W$42,IF($B22="Infrastructure",'Project Portfolio'!$X$4:$X$42,IF($B22="DBA",'Project Portfolio'!$Y$4:$Y$42,IF($B22="Project Manager",'Project Portfolio'!$Z$4:$Z$42,IF($B22="WMS Consultant",'Project Portfolio'!$AA$4:$AA$42,0))))))))/IF(INT(('Project Portfolio'!$J$4:$J$42-'Project Portfolio'!$I$4:$I$42)/7+1)&gt;0,INT(('Project Portfolio'!$J$4:$J$42-'Project Portfolio'!$I$4:$I$42)/7+1),1)))/$D22,0)</f>
        <v>0</v>
      </c>
    </row>
    <row r="23" spans="1:30" ht="15" customHeight="1">
      <c r="A23" s="11" t="s">
        <v>94</v>
      </c>
      <c r="B23" s="11" t="s">
        <v>95</v>
      </c>
      <c r="C23" s="11" t="s">
        <v>28</v>
      </c>
      <c r="D23" s="15">
        <f>'Team Roster'!K23</f>
        <v>14</v>
      </c>
      <c r="E23" s="82" cm="1">
        <f t="array" ref="E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Portfolio'!$I$4:$I$42&lt;=E$4+6)*('Project Portfolio'!$J$4:$J$42&gt;=E$4)*('Project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F23" s="82" cm="1">
        <f t="array" ref="F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Portfolio'!$I$4:$I$42&lt;=F$4+6)*('Project Portfolio'!$J$4:$J$42&gt;=F$4)*('Project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G23" s="82" cm="1">
        <f t="array" ref="G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Portfolio'!$I$4:$I$42&lt;=G$4+6)*('Project Portfolio'!$J$4:$J$42&gt;=G$4)*('Project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H23" s="82" cm="1">
        <f t="array" ref="H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Portfolio'!$I$4:$I$42&lt;=H$4+6)*('Project Portfolio'!$J$4:$J$42&gt;=H$4)*('Project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I23" s="82" cm="1">
        <f t="array" ref="I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Portfolio'!$I$4:$I$42&lt;=I$4+6)*('Project Portfolio'!$J$4:$J$42&gt;=I$4)*('Project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J23" s="82" cm="1">
        <f t="array" ref="J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Portfolio'!$I$4:$I$42&lt;=J$4+6)*('Project Portfolio'!$J$4:$J$42&gt;=J$4)*('Project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K23" s="82" cm="1">
        <f t="array" ref="K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Portfolio'!$I$4:$I$42&lt;=K$4+6)*('Project Portfolio'!$J$4:$J$42&gt;=K$4)*('Project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L23" s="82" cm="1">
        <f t="array" ref="L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Portfolio'!$I$4:$I$42&lt;=L$4+6)*('Project Portfolio'!$J$4:$J$42&gt;=L$4)*('Project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M23" s="82" cm="1">
        <f t="array" ref="M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Portfolio'!$I$4:$I$42&lt;=M$4+6)*('Project Portfolio'!$J$4:$J$42&gt;=M$4)*('Project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N23" s="82" cm="1">
        <f t="array" ref="N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Portfolio'!$I$4:$I$42&lt;=N$4+6)*('Project Portfolio'!$J$4:$J$42&gt;=N$4)*('Project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O23" s="82" cm="1">
        <f t="array" ref="O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Portfolio'!$I$4:$I$42&lt;=O$4+6)*('Project Portfolio'!$J$4:$J$42&gt;=O$4)*('Project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P23" s="82" cm="1">
        <f t="array" ref="P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Portfolio'!$I$4:$I$42&lt;=P$4+6)*('Project Portfolio'!$J$4:$J$42&gt;=P$4)*('Project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Q23" s="82" cm="1">
        <f t="array" ref="Q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Portfolio'!$I$4:$I$42&lt;=Q$4+6)*('Project Portfolio'!$J$4:$J$42&gt;=Q$4)*('Project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R23" s="82" cm="1">
        <f t="array" ref="R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Portfolio'!$I$4:$I$42&lt;=R$4+6)*('Project Portfolio'!$J$4:$J$42&gt;=R$4)*('Project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S23" s="82" cm="1">
        <f t="array" ref="S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Portfolio'!$I$4:$I$42&lt;=S$4+6)*('Project Portfolio'!$J$4:$J$42&gt;=S$4)*('Project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T23" s="82" cm="1">
        <f t="array" ref="T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Portfolio'!$I$4:$I$42&lt;=T$4+6)*('Project Portfolio'!$J$4:$J$42&gt;=T$4)*('Project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U23" s="82" cm="1">
        <f t="array" ref="U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Portfolio'!$I$4:$I$42&lt;=U$4+6)*('Project Portfolio'!$J$4:$J$42&gt;=U$4)*('Project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V23" s="82" cm="1">
        <f t="array" ref="V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Portfolio'!$I$4:$I$42&lt;=V$4+6)*('Project Portfolio'!$J$4:$J$42&gt;=V$4)*('Project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W23" s="82" cm="1">
        <f t="array" ref="W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Portfolio'!$I$4:$I$42&lt;=W$4+6)*('Project Portfolio'!$J$4:$J$42&gt;=W$4)*('Project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X23" s="82" cm="1">
        <f t="array" ref="X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Portfolio'!$I$4:$I$42&lt;=X$4+6)*('Project Portfolio'!$J$4:$J$42&gt;=X$4)*('Project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Y23" s="82" cm="1">
        <f t="array" ref="Y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Portfolio'!$I$4:$I$42&lt;=Y$4+6)*('Project Portfolio'!$J$4:$J$42&gt;=Y$4)*('Project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Z23" s="82" cm="1">
        <f t="array" ref="Z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Portfolio'!$I$4:$I$42&lt;=Z$4+6)*('Project Portfolio'!$J$4:$J$42&gt;=Z$4)*('Project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AA23" s="82" cm="1">
        <f t="array" ref="AA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Portfolio'!$I$4:$I$42&lt;=AA$4+6)*('Project Portfolio'!$J$4:$J$42&gt;=AA$4)*('Project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AB23" s="82" cm="1">
        <f t="array" ref="AB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Portfolio'!$I$4:$I$42&lt;=AB$4+6)*('Project Portfolio'!$J$4:$J$42&gt;=AB$4)*('Project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AC23" s="82" cm="1">
        <f t="array" ref="AC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Portfolio'!$I$4:$I$42&lt;=AC$4+6)*('Project Portfolio'!$J$4:$J$42&gt;=AC$4)*('Project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  <c r="AD23" s="82" cm="1">
        <f t="array" ref="AD23">IFERROR(SUMPRODUCT(('Project Portfolio'!$F$4:$F$42&lt;&gt;"✅ COMPLETE")*(('Project Portfolio'!$M$4:$M$42=$A23)+('Project Portfolio'!$N$4:$N$42=$A23)+('Project Portfolio'!$O$4:$O$42=$A23)+('Project Portfolio'!$P$4:$P$42=$A23)&gt;0)*('Project Portfolio'!$I$4:$I$42&gt;0)*('Project Portfolio'!$J$4:$J$42&gt;0)*('Project Portfolio'!$I$4:$I$42&lt;=AD$4+6)*('Project Portfolio'!$J$4:$J$42&gt;=AD$4)*('Project Portfolio'!$R$4:$R$42*IF($B23="Business Analyst",'Project Portfolio'!$T$4:$T$42,IF($B23="Functional",'Project Portfolio'!$U$4:$U$42,IF($B23="Technical",'Project Portfolio'!$V$4:$V$42,IF($B23="Developer",'Project Portfolio'!$W$4:$W$42,IF($B23="Infrastructure",'Project Portfolio'!$X$4:$X$42,IF($B23="DBA",'Project Portfolio'!$Y$4:$Y$42,IF($B23="Project Manager",'Project Portfolio'!$Z$4:$Z$42,IF($B23="WMS Consultant",'Project Portfolio'!$AA$4:$AA$42,0))))))))/IF(INT(('Project Portfolio'!$J$4:$J$42-'Project Portfolio'!$I$4:$I$42)/7+1)&gt;0,INT(('Project Portfolio'!$J$4:$J$42-'Project Portfolio'!$I$4:$I$42)/7+1),1)))/$D23,0)</f>
        <v>0</v>
      </c>
    </row>
    <row r="24" spans="1:30" ht="15" customHeight="1">
      <c r="A24" s="18" t="s">
        <v>97</v>
      </c>
      <c r="B24" s="18" t="s">
        <v>26</v>
      </c>
      <c r="C24" s="18" t="s">
        <v>26</v>
      </c>
      <c r="D24" s="22">
        <f>'Team Roster'!K24</f>
        <v>16</v>
      </c>
      <c r="E24" s="83" cm="1">
        <f t="array" ref="E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Portfolio'!$I$4:$I$42&lt;=E$4+6)*('Project Portfolio'!$J$4:$J$42&gt;=E$4)*('Project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F24" s="83" cm="1">
        <f t="array" ref="F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Portfolio'!$I$4:$I$42&lt;=F$4+6)*('Project Portfolio'!$J$4:$J$42&gt;=F$4)*('Project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G24" s="83" cm="1">
        <f t="array" ref="G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Portfolio'!$I$4:$I$42&lt;=G$4+6)*('Project Portfolio'!$J$4:$J$42&gt;=G$4)*('Project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H24" s="83" cm="1">
        <f t="array" ref="H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Portfolio'!$I$4:$I$42&lt;=H$4+6)*('Project Portfolio'!$J$4:$J$42&gt;=H$4)*('Project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I24" s="83" cm="1">
        <f t="array" ref="I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Portfolio'!$I$4:$I$42&lt;=I$4+6)*('Project Portfolio'!$J$4:$J$42&gt;=I$4)*('Project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J24" s="83" cm="1">
        <f t="array" ref="J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Portfolio'!$I$4:$I$42&lt;=J$4+6)*('Project Portfolio'!$J$4:$J$42&gt;=J$4)*('Project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K24" s="83" cm="1">
        <f t="array" ref="K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Portfolio'!$I$4:$I$42&lt;=K$4+6)*('Project Portfolio'!$J$4:$J$42&gt;=K$4)*('Project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L24" s="83" cm="1">
        <f t="array" ref="L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Portfolio'!$I$4:$I$42&lt;=L$4+6)*('Project Portfolio'!$J$4:$J$42&gt;=L$4)*('Project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M24" s="83" cm="1">
        <f t="array" ref="M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Portfolio'!$I$4:$I$42&lt;=M$4+6)*('Project Portfolio'!$J$4:$J$42&gt;=M$4)*('Project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N24" s="83" cm="1">
        <f t="array" ref="N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Portfolio'!$I$4:$I$42&lt;=N$4+6)*('Project Portfolio'!$J$4:$J$42&gt;=N$4)*('Project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O24" s="83" cm="1">
        <f t="array" ref="O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Portfolio'!$I$4:$I$42&lt;=O$4+6)*('Project Portfolio'!$J$4:$J$42&gt;=O$4)*('Project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P24" s="83" cm="1">
        <f t="array" ref="P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Portfolio'!$I$4:$I$42&lt;=P$4+6)*('Project Portfolio'!$J$4:$J$42&gt;=P$4)*('Project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Q24" s="83" cm="1">
        <f t="array" ref="Q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Portfolio'!$I$4:$I$42&lt;=Q$4+6)*('Project Portfolio'!$J$4:$J$42&gt;=Q$4)*('Project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R24" s="83" cm="1">
        <f t="array" ref="R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Portfolio'!$I$4:$I$42&lt;=R$4+6)*('Project Portfolio'!$J$4:$J$42&gt;=R$4)*('Project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S24" s="83" cm="1">
        <f t="array" ref="S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Portfolio'!$I$4:$I$42&lt;=S$4+6)*('Project Portfolio'!$J$4:$J$42&gt;=S$4)*('Project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T24" s="83" cm="1">
        <f t="array" ref="T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Portfolio'!$I$4:$I$42&lt;=T$4+6)*('Project Portfolio'!$J$4:$J$42&gt;=T$4)*('Project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U24" s="83" cm="1">
        <f t="array" ref="U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Portfolio'!$I$4:$I$42&lt;=U$4+6)*('Project Portfolio'!$J$4:$J$42&gt;=U$4)*('Project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V24" s="83" cm="1">
        <f t="array" ref="V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Portfolio'!$I$4:$I$42&lt;=V$4+6)*('Project Portfolio'!$J$4:$J$42&gt;=V$4)*('Project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W24" s="83" cm="1">
        <f t="array" ref="W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Portfolio'!$I$4:$I$42&lt;=W$4+6)*('Project Portfolio'!$J$4:$J$42&gt;=W$4)*('Project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X24" s="83" cm="1">
        <f t="array" ref="X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Portfolio'!$I$4:$I$42&lt;=X$4+6)*('Project Portfolio'!$J$4:$J$42&gt;=X$4)*('Project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Y24" s="83" cm="1">
        <f t="array" ref="Y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Portfolio'!$I$4:$I$42&lt;=Y$4+6)*('Project Portfolio'!$J$4:$J$42&gt;=Y$4)*('Project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Z24" s="83" cm="1">
        <f t="array" ref="Z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Portfolio'!$I$4:$I$42&lt;=Z$4+6)*('Project Portfolio'!$J$4:$J$42&gt;=Z$4)*('Project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AA24" s="83" cm="1">
        <f t="array" ref="AA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Portfolio'!$I$4:$I$42&lt;=AA$4+6)*('Project Portfolio'!$J$4:$J$42&gt;=AA$4)*('Project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AB24" s="83" cm="1">
        <f t="array" ref="AB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Portfolio'!$I$4:$I$42&lt;=AB$4+6)*('Project Portfolio'!$J$4:$J$42&gt;=AB$4)*('Project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AC24" s="83" cm="1">
        <f t="array" ref="AC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Portfolio'!$I$4:$I$42&lt;=AC$4+6)*('Project Portfolio'!$J$4:$J$42&gt;=AC$4)*('Project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  <c r="AD24" s="83" cm="1">
        <f t="array" ref="AD24">IFERROR(SUMPRODUCT(('Project Portfolio'!$F$4:$F$42&lt;&gt;"✅ COMPLETE")*(('Project Portfolio'!$M$4:$M$42=$A24)+('Project Portfolio'!$N$4:$N$42=$A24)+('Project Portfolio'!$O$4:$O$42=$A24)+('Project Portfolio'!$P$4:$P$42=$A24)&gt;0)*('Project Portfolio'!$I$4:$I$42&gt;0)*('Project Portfolio'!$J$4:$J$42&gt;0)*('Project Portfolio'!$I$4:$I$42&lt;=AD$4+6)*('Project Portfolio'!$J$4:$J$42&gt;=AD$4)*('Project Portfolio'!$R$4:$R$42*IF($B24="Business Analyst",'Project Portfolio'!$T$4:$T$42,IF($B24="Functional",'Project Portfolio'!$U$4:$U$42,IF($B24="Technical",'Project Portfolio'!$V$4:$V$42,IF($B24="Developer",'Project Portfolio'!$W$4:$W$42,IF($B24="Infrastructure",'Project Portfolio'!$X$4:$X$42,IF($B24="DBA",'Project Portfolio'!$Y$4:$Y$42,IF($B24="Project Manager",'Project Portfolio'!$Z$4:$Z$42,IF($B24="WMS Consultant",'Project Portfolio'!$AA$4:$AA$42,0))))))))/IF(INT(('Project Portfolio'!$J$4:$J$42-'Project Portfolio'!$I$4:$I$42)/7+1)&gt;0,INT(('Project Portfolio'!$J$4:$J$42-'Project Portfolio'!$I$4:$I$42)/7+1),1)))/$D24,0)</f>
        <v>0</v>
      </c>
    </row>
    <row r="25" spans="1:30" ht="15" customHeight="1">
      <c r="A25" s="11" t="s">
        <v>98</v>
      </c>
      <c r="B25" s="11" t="s">
        <v>26</v>
      </c>
      <c r="C25" s="11" t="s">
        <v>26</v>
      </c>
      <c r="D25" s="15">
        <f>'Team Roster'!K25</f>
        <v>16</v>
      </c>
      <c r="E25" s="82" cm="1">
        <f t="array" ref="E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Portfolio'!$I$4:$I$42&lt;=E$4+6)*('Project Portfolio'!$J$4:$J$42&gt;=E$4)*('Project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F25" s="82" cm="1">
        <f t="array" ref="F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Portfolio'!$I$4:$I$42&lt;=F$4+6)*('Project Portfolio'!$J$4:$J$42&gt;=F$4)*('Project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G25" s="82" cm="1">
        <f t="array" ref="G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Portfolio'!$I$4:$I$42&lt;=G$4+6)*('Project Portfolio'!$J$4:$J$42&gt;=G$4)*('Project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H25" s="82" cm="1">
        <f t="array" ref="H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Portfolio'!$I$4:$I$42&lt;=H$4+6)*('Project Portfolio'!$J$4:$J$42&gt;=H$4)*('Project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I25" s="82" cm="1">
        <f t="array" ref="I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Portfolio'!$I$4:$I$42&lt;=I$4+6)*('Project Portfolio'!$J$4:$J$42&gt;=I$4)*('Project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J25" s="82" cm="1">
        <f t="array" ref="J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Portfolio'!$I$4:$I$42&lt;=J$4+6)*('Project Portfolio'!$J$4:$J$42&gt;=J$4)*('Project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K25" s="82" cm="1">
        <f t="array" ref="K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Portfolio'!$I$4:$I$42&lt;=K$4+6)*('Project Portfolio'!$J$4:$J$42&gt;=K$4)*('Project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L25" s="82" cm="1">
        <f t="array" ref="L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Portfolio'!$I$4:$I$42&lt;=L$4+6)*('Project Portfolio'!$J$4:$J$42&gt;=L$4)*('Project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M25" s="82" cm="1">
        <f t="array" ref="M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Portfolio'!$I$4:$I$42&lt;=M$4+6)*('Project Portfolio'!$J$4:$J$42&gt;=M$4)*('Project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N25" s="82" cm="1">
        <f t="array" ref="N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Portfolio'!$I$4:$I$42&lt;=N$4+6)*('Project Portfolio'!$J$4:$J$42&gt;=N$4)*('Project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O25" s="82" cm="1">
        <f t="array" ref="O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Portfolio'!$I$4:$I$42&lt;=O$4+6)*('Project Portfolio'!$J$4:$J$42&gt;=O$4)*('Project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P25" s="82" cm="1">
        <f t="array" ref="P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Portfolio'!$I$4:$I$42&lt;=P$4+6)*('Project Portfolio'!$J$4:$J$42&gt;=P$4)*('Project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Q25" s="82" cm="1">
        <f t="array" ref="Q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Portfolio'!$I$4:$I$42&lt;=Q$4+6)*('Project Portfolio'!$J$4:$J$42&gt;=Q$4)*('Project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R25" s="82" cm="1">
        <f t="array" ref="R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Portfolio'!$I$4:$I$42&lt;=R$4+6)*('Project Portfolio'!$J$4:$J$42&gt;=R$4)*('Project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S25" s="82" cm="1">
        <f t="array" ref="S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Portfolio'!$I$4:$I$42&lt;=S$4+6)*('Project Portfolio'!$J$4:$J$42&gt;=S$4)*('Project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T25" s="82" cm="1">
        <f t="array" ref="T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Portfolio'!$I$4:$I$42&lt;=T$4+6)*('Project Portfolio'!$J$4:$J$42&gt;=T$4)*('Project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U25" s="82" cm="1">
        <f t="array" ref="U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Portfolio'!$I$4:$I$42&lt;=U$4+6)*('Project Portfolio'!$J$4:$J$42&gt;=U$4)*('Project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V25" s="82" cm="1">
        <f t="array" ref="V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Portfolio'!$I$4:$I$42&lt;=V$4+6)*('Project Portfolio'!$J$4:$J$42&gt;=V$4)*('Project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W25" s="82" cm="1">
        <f t="array" ref="W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Portfolio'!$I$4:$I$42&lt;=W$4+6)*('Project Portfolio'!$J$4:$J$42&gt;=W$4)*('Project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X25" s="82" cm="1">
        <f t="array" ref="X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Portfolio'!$I$4:$I$42&lt;=X$4+6)*('Project Portfolio'!$J$4:$J$42&gt;=X$4)*('Project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Y25" s="82" cm="1">
        <f t="array" ref="Y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Portfolio'!$I$4:$I$42&lt;=Y$4+6)*('Project Portfolio'!$J$4:$J$42&gt;=Y$4)*('Project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Z25" s="82" cm="1">
        <f t="array" ref="Z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Portfolio'!$I$4:$I$42&lt;=Z$4+6)*('Project Portfolio'!$J$4:$J$42&gt;=Z$4)*('Project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AA25" s="82" cm="1">
        <f t="array" ref="AA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Portfolio'!$I$4:$I$42&lt;=AA$4+6)*('Project Portfolio'!$J$4:$J$42&gt;=AA$4)*('Project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AB25" s="82" cm="1">
        <f t="array" ref="AB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Portfolio'!$I$4:$I$42&lt;=AB$4+6)*('Project Portfolio'!$J$4:$J$42&gt;=AB$4)*('Project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AC25" s="82" cm="1">
        <f t="array" ref="AC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Portfolio'!$I$4:$I$42&lt;=AC$4+6)*('Project Portfolio'!$J$4:$J$42&gt;=AC$4)*('Project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  <c r="AD25" s="82" cm="1">
        <f t="array" ref="AD25">IFERROR(SUMPRODUCT(('Project Portfolio'!$F$4:$F$42&lt;&gt;"✅ COMPLETE")*(('Project Portfolio'!$M$4:$M$42=$A25)+('Project Portfolio'!$N$4:$N$42=$A25)+('Project Portfolio'!$O$4:$O$42=$A25)+('Project Portfolio'!$P$4:$P$42=$A25)&gt;0)*('Project Portfolio'!$I$4:$I$42&gt;0)*('Project Portfolio'!$J$4:$J$42&gt;0)*('Project Portfolio'!$I$4:$I$42&lt;=AD$4+6)*('Project Portfolio'!$J$4:$J$42&gt;=AD$4)*('Project Portfolio'!$R$4:$R$42*IF($B25="Business Analyst",'Project Portfolio'!$T$4:$T$42,IF($B25="Functional",'Project Portfolio'!$U$4:$U$42,IF($B25="Technical",'Project Portfolio'!$V$4:$V$42,IF($B25="Developer",'Project Portfolio'!$W$4:$W$42,IF($B25="Infrastructure",'Project Portfolio'!$X$4:$X$42,IF($B25="DBA",'Project Portfolio'!$Y$4:$Y$42,IF($B25="Project Manager",'Project Portfolio'!$Z$4:$Z$42,IF($B25="WMS Consultant",'Project Portfolio'!$AA$4:$AA$42,0))))))))/IF(INT(('Project Portfolio'!$J$4:$J$42-'Project Portfolio'!$I$4:$I$42)/7+1)&gt;0,INT(('Project Portfolio'!$J$4:$J$42-'Project Portfolio'!$I$4:$I$42)/7+1),1)))/$D25,0)</f>
        <v>0</v>
      </c>
    </row>
    <row r="26" spans="1:30" ht="15" customHeight="1">
      <c r="A26" s="84" t="s">
        <v>99</v>
      </c>
      <c r="B26" s="85" t="s">
        <v>26</v>
      </c>
      <c r="C26" s="85" t="s">
        <v>26</v>
      </c>
      <c r="D26" s="86">
        <f>'Team Roster'!K26</f>
        <v>16</v>
      </c>
      <c r="E26" s="83" cm="1">
        <f t="array" ref="E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Portfolio'!$I$4:$I$42&lt;=E$4+6)*('Project Portfolio'!$J$4:$J$42&gt;=E$4)*('Project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F26" s="83" cm="1">
        <f t="array" ref="F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Portfolio'!$I$4:$I$42&lt;=F$4+6)*('Project Portfolio'!$J$4:$J$42&gt;=F$4)*('Project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G26" s="83" cm="1">
        <f t="array" ref="G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Portfolio'!$I$4:$I$42&lt;=G$4+6)*('Project Portfolio'!$J$4:$J$42&gt;=G$4)*('Project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H26" s="83" cm="1">
        <f t="array" ref="H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Portfolio'!$I$4:$I$42&lt;=H$4+6)*('Project Portfolio'!$J$4:$J$42&gt;=H$4)*('Project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I26" s="83" cm="1">
        <f t="array" ref="I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Portfolio'!$I$4:$I$42&lt;=I$4+6)*('Project Portfolio'!$J$4:$J$42&gt;=I$4)*('Project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J26" s="83" cm="1">
        <f t="array" ref="J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Portfolio'!$I$4:$I$42&lt;=J$4+6)*('Project Portfolio'!$J$4:$J$42&gt;=J$4)*('Project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K26" s="83" cm="1">
        <f t="array" ref="K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Portfolio'!$I$4:$I$42&lt;=K$4+6)*('Project Portfolio'!$J$4:$J$42&gt;=K$4)*('Project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L26" s="83" cm="1">
        <f t="array" ref="L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Portfolio'!$I$4:$I$42&lt;=L$4+6)*('Project Portfolio'!$J$4:$J$42&gt;=L$4)*('Project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M26" s="83" cm="1">
        <f t="array" ref="M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Portfolio'!$I$4:$I$42&lt;=M$4+6)*('Project Portfolio'!$J$4:$J$42&gt;=M$4)*('Project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N26" s="83" cm="1">
        <f t="array" ref="N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Portfolio'!$I$4:$I$42&lt;=N$4+6)*('Project Portfolio'!$J$4:$J$42&gt;=N$4)*('Project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O26" s="83" cm="1">
        <f t="array" ref="O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Portfolio'!$I$4:$I$42&lt;=O$4+6)*('Project Portfolio'!$J$4:$J$42&gt;=O$4)*('Project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P26" s="83" cm="1">
        <f t="array" ref="P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Portfolio'!$I$4:$I$42&lt;=P$4+6)*('Project Portfolio'!$J$4:$J$42&gt;=P$4)*('Project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Q26" s="83" cm="1">
        <f t="array" ref="Q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Portfolio'!$I$4:$I$42&lt;=Q$4+6)*('Project Portfolio'!$J$4:$J$42&gt;=Q$4)*('Project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R26" s="83" cm="1">
        <f t="array" ref="R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Portfolio'!$I$4:$I$42&lt;=R$4+6)*('Project Portfolio'!$J$4:$J$42&gt;=R$4)*('Project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S26" s="83" cm="1">
        <f t="array" ref="S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Portfolio'!$I$4:$I$42&lt;=S$4+6)*('Project Portfolio'!$J$4:$J$42&gt;=S$4)*('Project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T26" s="83" cm="1">
        <f t="array" ref="T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Portfolio'!$I$4:$I$42&lt;=T$4+6)*('Project Portfolio'!$J$4:$J$42&gt;=T$4)*('Project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U26" s="83" cm="1">
        <f t="array" ref="U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Portfolio'!$I$4:$I$42&lt;=U$4+6)*('Project Portfolio'!$J$4:$J$42&gt;=U$4)*('Project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V26" s="83" cm="1">
        <f t="array" ref="V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Portfolio'!$I$4:$I$42&lt;=V$4+6)*('Project Portfolio'!$J$4:$J$42&gt;=V$4)*('Project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W26" s="83" cm="1">
        <f t="array" ref="W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Portfolio'!$I$4:$I$42&lt;=W$4+6)*('Project Portfolio'!$J$4:$J$42&gt;=W$4)*('Project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X26" s="83" cm="1">
        <f t="array" ref="X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Portfolio'!$I$4:$I$42&lt;=X$4+6)*('Project Portfolio'!$J$4:$J$42&gt;=X$4)*('Project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Y26" s="83" cm="1">
        <f t="array" ref="Y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Portfolio'!$I$4:$I$42&lt;=Y$4+6)*('Project Portfolio'!$J$4:$J$42&gt;=Y$4)*('Project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Z26" s="83" cm="1">
        <f t="array" ref="Z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Portfolio'!$I$4:$I$42&lt;=Z$4+6)*('Project Portfolio'!$J$4:$J$42&gt;=Z$4)*('Project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AA26" s="83" cm="1">
        <f t="array" ref="AA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Portfolio'!$I$4:$I$42&lt;=AA$4+6)*('Project Portfolio'!$J$4:$J$42&gt;=AA$4)*('Project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AB26" s="83" cm="1">
        <f t="array" ref="AB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Portfolio'!$I$4:$I$42&lt;=AB$4+6)*('Project Portfolio'!$J$4:$J$42&gt;=AB$4)*('Project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AC26" s="83" cm="1">
        <f t="array" ref="AC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Portfolio'!$I$4:$I$42&lt;=AC$4+6)*('Project Portfolio'!$J$4:$J$42&gt;=AC$4)*('Project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  <c r="AD26" s="83" cm="1">
        <f t="array" ref="AD26">IFERROR(SUMPRODUCT(('Project Portfolio'!$F$4:$F$42&lt;&gt;"✅ COMPLETE")*(('Project Portfolio'!$M$4:$M$42=$A26)+('Project Portfolio'!$N$4:$N$42=$A26)+('Project Portfolio'!$O$4:$O$42=$A26)+('Project Portfolio'!$P$4:$P$42=$A26)&gt;0)*('Project Portfolio'!$I$4:$I$42&gt;0)*('Project Portfolio'!$J$4:$J$42&gt;0)*('Project Portfolio'!$I$4:$I$42&lt;=AD$4+6)*('Project Portfolio'!$J$4:$J$42&gt;=AD$4)*('Project Portfolio'!$R$4:$R$42*IF($B26="Business Analyst",'Project Portfolio'!$T$4:$T$42,IF($B26="Functional",'Project Portfolio'!$U$4:$U$42,IF($B26="Technical",'Project Portfolio'!$V$4:$V$42,IF($B26="Developer",'Project Portfolio'!$W$4:$W$42,IF($B26="Infrastructure",'Project Portfolio'!$X$4:$X$42,IF($B26="DBA",'Project Portfolio'!$Y$4:$Y$42,IF($B26="Project Manager",'Project Portfolio'!$Z$4:$Z$42,IF($B26="WMS Consultant",'Project Portfolio'!$AA$4:$AA$42,0))))))))/IF(INT(('Project Portfolio'!$J$4:$J$42-'Project Portfolio'!$I$4:$I$42)/7+1)&gt;0,INT(('Project Portfolio'!$J$4:$J$42-'Project Portfolio'!$I$4:$I$42)/7+1),1)))/$D26,0)</f>
        <v>0</v>
      </c>
    </row>
    <row r="27" spans="1:30" ht="1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5" customHeight="1">
      <c r="A28" s="5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5" customHeight="1">
      <c r="A29" s="9"/>
      <c r="B29" s="9"/>
      <c r="C29" s="9"/>
      <c r="D29" s="9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</row>
    <row r="30" spans="1:30" ht="15" customHeight="1">
      <c r="A30" s="16"/>
      <c r="B30" s="16"/>
      <c r="C30" s="16"/>
      <c r="D30" s="16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</row>
    <row r="31" spans="1:30" ht="15" customHeight="1">
      <c r="A31" s="9"/>
      <c r="B31" s="9"/>
      <c r="C31" s="9"/>
      <c r="D31" s="9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</row>
    <row r="32" spans="1:30" ht="15" customHeight="1">
      <c r="A32" s="16"/>
      <c r="B32" s="16"/>
      <c r="C32" s="16"/>
      <c r="D32" s="16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</row>
    <row r="33" spans="1:30" ht="15" customHeight="1">
      <c r="A33" s="9"/>
      <c r="B33" s="9"/>
      <c r="C33" s="9"/>
      <c r="D33" s="9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</row>
    <row r="34" spans="1:30" ht="15" customHeight="1">
      <c r="A34" s="16"/>
      <c r="B34" s="16"/>
      <c r="C34" s="16"/>
      <c r="D34" s="16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</row>
    <row r="35" spans="1:30" ht="15" customHeight="1">
      <c r="A35" s="9"/>
      <c r="B35" s="9"/>
      <c r="C35" s="9"/>
      <c r="D35" s="9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</row>
    <row r="36" spans="1:30" ht="15" customHeight="1">
      <c r="A36" s="16"/>
      <c r="B36" s="16"/>
      <c r="C36" s="16"/>
      <c r="D36" s="16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</row>
    <row r="37" spans="1:30" ht="15" customHeight="1">
      <c r="A37" s="9"/>
      <c r="B37" s="9"/>
      <c r="C37" s="9"/>
      <c r="D37" s="9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</row>
    <row r="38" spans="1:30" ht="15" customHeight="1">
      <c r="A38" s="16"/>
      <c r="B38" s="16"/>
      <c r="C38" s="16"/>
      <c r="D38" s="16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 spans="1:30" ht="15" customHeight="1">
      <c r="A39" s="9"/>
      <c r="B39" s="9"/>
      <c r="C39" s="9"/>
      <c r="D39" s="9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 spans="1:30" ht="15" customHeight="1">
      <c r="A40" s="16"/>
      <c r="B40" s="16"/>
      <c r="C40" s="16"/>
      <c r="D40" s="16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 spans="1:30" ht="15" customHeight="1">
      <c r="A41" s="9"/>
      <c r="B41" s="9"/>
      <c r="C41" s="9"/>
      <c r="D41" s="9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 spans="1:30" ht="15" customHeight="1">
      <c r="A42" s="16"/>
      <c r="B42" s="16"/>
      <c r="C42" s="16"/>
      <c r="D42" s="16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 spans="1:30" ht="15" customHeight="1">
      <c r="A43" s="9"/>
      <c r="B43" s="9"/>
      <c r="C43" s="9"/>
      <c r="D43" s="9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 spans="1:30" ht="15" customHeight="1">
      <c r="A44" s="16"/>
      <c r="B44" s="16"/>
      <c r="C44" s="16"/>
      <c r="D44" s="16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spans="1:30" ht="15" customHeight="1">
      <c r="A45" s="9"/>
      <c r="B45" s="9"/>
      <c r="C45" s="9"/>
      <c r="D45" s="9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 spans="1:30" ht="15" customHeight="1">
      <c r="A46" s="16"/>
      <c r="B46" s="16"/>
      <c r="C46" s="16"/>
      <c r="D46" s="16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</row>
    <row r="47" spans="1:30" ht="15" customHeight="1">
      <c r="A47" s="9"/>
      <c r="B47" s="9"/>
      <c r="C47" s="9"/>
      <c r="D47" s="9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 spans="1:30" ht="15" customHeight="1">
      <c r="A48" s="16"/>
      <c r="B48" s="16"/>
      <c r="C48" s="16"/>
      <c r="D48" s="16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</row>
    <row r="49" spans="1:30" ht="15" customHeight="1">
      <c r="A49" s="9"/>
      <c r="B49" s="9"/>
      <c r="C49" s="9"/>
      <c r="D49" s="9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</row>
    <row r="51" spans="1:30" ht="15" customHeight="1">
      <c r="A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5" customHeight="1">
      <c r="A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</sheetData>
  <sheetProtection sheet="1" objects="1" scenarios="1" sort="0" autoFilter="0"/>
  <mergeCells count="1">
    <mergeCell ref="A1:Z1"/>
  </mergeCells>
  <conditionalFormatting sqref="E29:AD49">
    <cfRule type="expression" dxfId="48" priority="1">
      <formula>E29&gt;1</formula>
    </cfRule>
  </conditionalFormatting>
  <conditionalFormatting sqref="E29:AD49">
    <cfRule type="expression" dxfId="47" priority="2">
      <formula>AND(E29&gt;=0.85,E29&lt;=1)</formula>
    </cfRule>
  </conditionalFormatting>
  <conditionalFormatting sqref="E29:AD49">
    <cfRule type="expression" dxfId="46" priority="3">
      <formula>AND(E29&gt;=0.5,E29&lt;0.85)</formula>
    </cfRule>
  </conditionalFormatting>
  <conditionalFormatting sqref="E29:AD49">
    <cfRule type="expression" dxfId="45" priority="4">
      <formula>AND(E29&gt;0,E29&lt;0.5)</formula>
    </cfRule>
  </conditionalFormatting>
  <conditionalFormatting sqref="E5:AD26">
    <cfRule type="expression" dxfId="44" priority="5">
      <formula>E5&gt;1</formula>
    </cfRule>
  </conditionalFormatting>
  <conditionalFormatting sqref="E5:AD26">
    <cfRule type="expression" dxfId="43" priority="6">
      <formula>AND(E5&gt;=0.85,E5&lt;=1)</formula>
    </cfRule>
  </conditionalFormatting>
  <conditionalFormatting sqref="E5:AD26">
    <cfRule type="expression" dxfId="42" priority="7">
      <formula>AND(E5&gt;=0.5,E5&lt;0.85)</formula>
    </cfRule>
  </conditionalFormatting>
  <conditionalFormatting sqref="E5:AD26">
    <cfRule type="expression" dxfId="41" priority="8">
      <formula>AND(E5&gt;0,E5&lt;0.5)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DE72-D9B8-4CE9-BBE3-571B13C697FC}">
  <dimension ref="A1:AF28"/>
  <sheetViews>
    <sheetView workbookViewId="0">
      <pane ySplit="4" topLeftCell="A5" activePane="bottomLeft" state="frozen"/>
      <selection pane="bottomLeft" activeCell="D16" sqref="D16"/>
    </sheetView>
  </sheetViews>
  <sheetFormatPr defaultRowHeight="15"/>
  <cols>
    <col min="1" max="1" width="20.28515625" customWidth="1"/>
    <col min="2" max="2" width="47.85546875" customWidth="1"/>
    <col min="3" max="3" width="26.5703125" customWidth="1"/>
    <col min="4" max="4" width="15.28515625" customWidth="1"/>
    <col min="5" max="5" width="19" customWidth="1"/>
    <col min="6" max="6" width="13.28515625" bestFit="1" customWidth="1"/>
    <col min="7" max="7" width="12.28515625" bestFit="1" customWidth="1"/>
    <col min="8" max="8" width="12.85546875" bestFit="1" customWidth="1"/>
    <col min="9" max="9" width="16.5703125" bestFit="1" customWidth="1"/>
    <col min="10" max="10" width="19" customWidth="1"/>
    <col min="11" max="11" width="16.140625" customWidth="1"/>
    <col min="12" max="13" width="19" customWidth="1"/>
    <col min="14" max="32" width="10.42578125" customWidth="1"/>
  </cols>
  <sheetData>
    <row r="1" spans="1:32" ht="20.25">
      <c r="A1" s="54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>
      <c r="A2" s="55" t="s">
        <v>379</v>
      </c>
      <c r="B2" s="56">
        <f ca="1">TODAY()</f>
        <v>46109</v>
      </c>
      <c r="C2" s="57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>
      <c r="A3" s="58" t="s">
        <v>380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</row>
    <row r="4" spans="1:32">
      <c r="A4" s="60" t="s">
        <v>54</v>
      </c>
      <c r="B4" s="60" t="s">
        <v>381</v>
      </c>
      <c r="C4" s="60" t="s">
        <v>382</v>
      </c>
      <c r="D4" s="60" t="s">
        <v>383</v>
      </c>
      <c r="E4" s="61">
        <f>'Capacity Heatmap'!E4</f>
        <v>46023</v>
      </c>
      <c r="F4" s="61">
        <f>'Capacity Heatmap'!F4</f>
        <v>46030</v>
      </c>
      <c r="G4" s="61">
        <f>'Capacity Heatmap'!G4</f>
        <v>46037</v>
      </c>
      <c r="H4" s="61">
        <f>'Capacity Heatmap'!H4</f>
        <v>46044</v>
      </c>
      <c r="I4" s="62">
        <f>H4+7</f>
        <v>46051</v>
      </c>
      <c r="J4" s="62">
        <f>I4+7</f>
        <v>46058</v>
      </c>
      <c r="K4" s="62">
        <f>J4+7</f>
        <v>46065</v>
      </c>
      <c r="L4" s="62">
        <f t="shared" ref="L4:AF4" si="0">K4+7</f>
        <v>46072</v>
      </c>
      <c r="M4" s="62">
        <f t="shared" si="0"/>
        <v>46079</v>
      </c>
      <c r="N4" s="62">
        <f t="shared" si="0"/>
        <v>46086</v>
      </c>
      <c r="O4" s="62">
        <f t="shared" si="0"/>
        <v>46093</v>
      </c>
      <c r="P4" s="62">
        <f t="shared" si="0"/>
        <v>46100</v>
      </c>
      <c r="Q4" s="62">
        <f t="shared" si="0"/>
        <v>46107</v>
      </c>
      <c r="R4" s="62">
        <f t="shared" si="0"/>
        <v>46114</v>
      </c>
      <c r="S4" s="62">
        <f t="shared" si="0"/>
        <v>46121</v>
      </c>
      <c r="T4" s="62">
        <f t="shared" si="0"/>
        <v>46128</v>
      </c>
      <c r="U4" s="62">
        <f t="shared" si="0"/>
        <v>46135</v>
      </c>
      <c r="V4" s="62">
        <f t="shared" si="0"/>
        <v>46142</v>
      </c>
      <c r="W4" s="62">
        <f t="shared" si="0"/>
        <v>46149</v>
      </c>
      <c r="X4" s="62">
        <f t="shared" si="0"/>
        <v>46156</v>
      </c>
      <c r="Y4" s="62">
        <f t="shared" si="0"/>
        <v>46163</v>
      </c>
      <c r="Z4" s="62">
        <f t="shared" si="0"/>
        <v>46170</v>
      </c>
      <c r="AA4" s="62">
        <f t="shared" si="0"/>
        <v>46177</v>
      </c>
      <c r="AB4" s="62">
        <f t="shared" si="0"/>
        <v>46184</v>
      </c>
      <c r="AC4" s="62">
        <f t="shared" si="0"/>
        <v>46191</v>
      </c>
      <c r="AD4" s="62">
        <f t="shared" si="0"/>
        <v>46198</v>
      </c>
      <c r="AE4" s="62">
        <f t="shared" si="0"/>
        <v>46205</v>
      </c>
      <c r="AF4" s="62">
        <f t="shared" si="0"/>
        <v>46212</v>
      </c>
    </row>
    <row r="5" spans="1:32">
      <c r="A5" s="63" t="s">
        <v>79</v>
      </c>
      <c r="B5" s="64">
        <f>COUNTIF('Capacity Heatmap'!$B$5:$B$26,$A5)</f>
        <v>4</v>
      </c>
      <c r="C5" s="64">
        <f>SUMIF('Capacity Heatmap'!$B$5:$B$26,$A5,'Capacity Heatmap'!$D$5:$D$26)</f>
        <v>79</v>
      </c>
      <c r="D5" s="65">
        <f>IFERROR(AVERAGEIF('Team Roster'!$B$4:$B$25,$A5,'Team Roster'!$H$4:$H$25),0)</f>
        <v>0.45</v>
      </c>
      <c r="E5" s="66" cm="1">
        <f t="array" ref="E5">SUMPRODUCT(('Capacity Heatmap'!$B$5:$B$26=$A5)*'Capacity Heatmap'!$D$5:$D$26*IF('Capacity Heatmap'!E$5:E$26&gt;1,0,1-'Capacity Heatmap'!E$5:E$26))</f>
        <v>71.732542819499344</v>
      </c>
      <c r="F5" s="66" cm="1">
        <f t="array" ref="F5">SUMPRODUCT(('Capacity Heatmap'!$B$5:$B$26=$A5)*'Capacity Heatmap'!$D$5:$D$26*IF('Capacity Heatmap'!F$5:F$26&gt;1,0,1-'Capacity Heatmap'!F$5:F$26))</f>
        <v>71.732542819499344</v>
      </c>
      <c r="G5" s="66" cm="1">
        <f t="array" ref="G5">SUMPRODUCT(('Capacity Heatmap'!$B$5:$B$26=$A5)*'Capacity Heatmap'!$D$5:$D$26*IF('Capacity Heatmap'!G$5:G$26&gt;1,0,1-'Capacity Heatmap'!G$5:G$26))</f>
        <v>71.732542819499344</v>
      </c>
      <c r="H5" s="66" cm="1">
        <f t="array" ref="H5">SUMPRODUCT(('Capacity Heatmap'!$B$5:$B$26=$A5)*'Capacity Heatmap'!$D$5:$D$26*IF('Capacity Heatmap'!H$5:H$26&gt;1,0,1-'Capacity Heatmap'!H$5:H$26))</f>
        <v>71.732542819499344</v>
      </c>
      <c r="I5" s="66" cm="1">
        <f t="array" ref="I5">SUMPRODUCT(('Capacity Heatmap'!$B$5:$B$26=$A5)*'Capacity Heatmap'!$D$5:$D$26*IF('Capacity Heatmap'!I$5:I$26&gt;1,0,1-'Capacity Heatmap'!I$5:I$26))</f>
        <v>71.732542819499344</v>
      </c>
      <c r="J5" s="66" cm="1">
        <f t="array" ref="J5">SUMPRODUCT(('Capacity Heatmap'!$B$5:$B$26=$A5)*'Capacity Heatmap'!$D$5:$D$26*IF('Capacity Heatmap'!J$5:J$26&gt;1,0,1-'Capacity Heatmap'!J$5:J$26))</f>
        <v>71.732542819499344</v>
      </c>
      <c r="K5" s="66" cm="1">
        <f t="array" ref="K5">SUMPRODUCT(('Capacity Heatmap'!$B$5:$B$26=$A5)*'Capacity Heatmap'!$D$5:$D$26*IF('Capacity Heatmap'!K$5:K$26&gt;1,0,1-'Capacity Heatmap'!K$5:K$26))</f>
        <v>71.732542819499344</v>
      </c>
      <c r="L5" s="66" cm="1">
        <f t="array" ref="L5">SUMPRODUCT(('Capacity Heatmap'!$B$5:$B$26=$A5)*'Capacity Heatmap'!$D$5:$D$26*IF('Capacity Heatmap'!L$5:L$26&gt;1,0,1-'Capacity Heatmap'!L$5:L$26))</f>
        <v>70.232542819499344</v>
      </c>
      <c r="M5" s="66" cm="1">
        <f t="array" ref="M5">SUMPRODUCT(('Capacity Heatmap'!$B$5:$B$26=$A5)*'Capacity Heatmap'!$D$5:$D$26*IF('Capacity Heatmap'!M$5:M$26&gt;1,0,1-'Capacity Heatmap'!M$5:M$26))</f>
        <v>70.232542819499344</v>
      </c>
      <c r="N5" s="66" cm="1">
        <f t="array" ref="N5">SUMPRODUCT(('Capacity Heatmap'!$B$5:$B$26=$A5)*'Capacity Heatmap'!$D$5:$D$26*IF('Capacity Heatmap'!N$5:N$26&gt;1,0,1-'Capacity Heatmap'!N$5:N$26))</f>
        <v>70.232542819499344</v>
      </c>
      <c r="O5" s="66" cm="1">
        <f t="array" ref="O5">SUMPRODUCT(('Capacity Heatmap'!$B$5:$B$26=$A5)*'Capacity Heatmap'!$D$5:$D$26*IF('Capacity Heatmap'!O$5:O$26&gt;1,0,1-'Capacity Heatmap'!O$5:O$26))</f>
        <v>70.232542819499344</v>
      </c>
      <c r="P5" s="66" cm="1">
        <f t="array" ref="P5">SUMPRODUCT(('Capacity Heatmap'!$B$5:$B$26=$A5)*'Capacity Heatmap'!$D$5:$D$26*IF('Capacity Heatmap'!P$5:P$26&gt;1,0,1-'Capacity Heatmap'!P$5:P$26))</f>
        <v>70.232542819499344</v>
      </c>
      <c r="Q5" s="66" cm="1">
        <f t="array" ref="Q5">SUMPRODUCT(('Capacity Heatmap'!$B$5:$B$26=$A5)*'Capacity Heatmap'!$D$5:$D$26*IF('Capacity Heatmap'!Q$5:Q$26&gt;1,0,1-'Capacity Heatmap'!Q$5:Q$26))</f>
        <v>70.232542819499344</v>
      </c>
      <c r="R5" s="66" cm="1">
        <f t="array" ref="R5">SUMPRODUCT(('Capacity Heatmap'!$B$5:$B$26=$A5)*'Capacity Heatmap'!$D$5:$D$26*IF('Capacity Heatmap'!R$5:R$26&gt;1,0,1-'Capacity Heatmap'!R$5:R$26))</f>
        <v>70.232542819499344</v>
      </c>
      <c r="S5" s="66" cm="1">
        <f t="array" ref="S5">SUMPRODUCT(('Capacity Heatmap'!$B$5:$B$26=$A5)*'Capacity Heatmap'!$D$5:$D$26*IF('Capacity Heatmap'!S$5:S$26&gt;1,0,1-'Capacity Heatmap'!S$5:S$26))</f>
        <v>70.232542819499344</v>
      </c>
      <c r="T5" s="66" cm="1">
        <f t="array" ref="T5">SUMPRODUCT(('Capacity Heatmap'!$B$5:$B$26=$A5)*'Capacity Heatmap'!$D$5:$D$26*IF('Capacity Heatmap'!T$5:T$26&gt;1,0,1-'Capacity Heatmap'!T$5:T$26))</f>
        <v>70.232542819499344</v>
      </c>
      <c r="U5" s="66" cm="1">
        <f t="array" ref="U5">SUMPRODUCT(('Capacity Heatmap'!$B$5:$B$26=$A5)*'Capacity Heatmap'!$D$5:$D$26*IF('Capacity Heatmap'!U$5:U$26&gt;1,0,1-'Capacity Heatmap'!U$5:U$26))</f>
        <v>71.732542819499344</v>
      </c>
      <c r="V5" s="66" cm="1">
        <f t="array" ref="V5">SUMPRODUCT(('Capacity Heatmap'!$B$5:$B$26=$A5)*'Capacity Heatmap'!$D$5:$D$26*IF('Capacity Heatmap'!V$5:V$26&gt;1,0,1-'Capacity Heatmap'!V$5:V$26))</f>
        <v>74.515151515151516</v>
      </c>
      <c r="W5" s="66" cm="1">
        <f t="array" ref="W5">SUMPRODUCT(('Capacity Heatmap'!$B$5:$B$26=$A5)*'Capacity Heatmap'!$D$5:$D$26*IF('Capacity Heatmap'!W$5:W$26&gt;1,0,1-'Capacity Heatmap'!W$5:W$26))</f>
        <v>74.515151515151516</v>
      </c>
      <c r="X5" s="66" cm="1">
        <f t="array" ref="X5">SUMPRODUCT(('Capacity Heatmap'!$B$5:$B$26=$A5)*'Capacity Heatmap'!$D$5:$D$26*IF('Capacity Heatmap'!X$5:X$26&gt;1,0,1-'Capacity Heatmap'!X$5:X$26))</f>
        <v>74.515151515151516</v>
      </c>
      <c r="Y5" s="66" cm="1">
        <f t="array" ref="Y5">SUMPRODUCT(('Capacity Heatmap'!$B$5:$B$26=$A5)*'Capacity Heatmap'!$D$5:$D$26*IF('Capacity Heatmap'!Y$5:Y$26&gt;1,0,1-'Capacity Heatmap'!Y$5:Y$26))</f>
        <v>74.515151515151516</v>
      </c>
      <c r="Z5" s="66" cm="1">
        <f t="array" ref="Z5">SUMPRODUCT(('Capacity Heatmap'!$B$5:$B$26=$A5)*'Capacity Heatmap'!$D$5:$D$26*IF('Capacity Heatmap'!Z$5:Z$26&gt;1,0,1-'Capacity Heatmap'!Z$5:Z$26))</f>
        <v>74.515151515151516</v>
      </c>
      <c r="AA5" s="66" cm="1">
        <f t="array" ref="AA5">SUMPRODUCT(('Capacity Heatmap'!$B$5:$B$26=$A5)*'Capacity Heatmap'!$D$5:$D$26*IF('Capacity Heatmap'!AA$5:AA$26&gt;1,0,1-'Capacity Heatmap'!AA$5:AA$26))</f>
        <v>79</v>
      </c>
      <c r="AB5" s="66" cm="1">
        <f t="array" ref="AB5">SUMPRODUCT(('Capacity Heatmap'!$B$5:$B$26=$A5)*'Capacity Heatmap'!$D$5:$D$26*IF('Capacity Heatmap'!AB$5:AB$26&gt;1,0,1-'Capacity Heatmap'!AB$5:AB$26))</f>
        <v>79</v>
      </c>
      <c r="AC5" s="66" cm="1">
        <f t="array" ref="AC5">SUMPRODUCT(('Capacity Heatmap'!$B$5:$B$26=$A5)*'Capacity Heatmap'!$D$5:$D$26*IF('Capacity Heatmap'!AC$5:AC$26&gt;1,0,1-'Capacity Heatmap'!AC$5:AC$26))</f>
        <v>79</v>
      </c>
      <c r="AD5" s="66" cm="1">
        <f t="array" ref="AD5">SUMPRODUCT(('Capacity Heatmap'!$B$5:$B$26=$A5)*'Capacity Heatmap'!$D$5:$D$26*IF('Capacity Heatmap'!AD$5:AD$26&gt;1,0,1-'Capacity Heatmap'!AD$5:AD$26))</f>
        <v>79</v>
      </c>
      <c r="AE5" s="66" cm="1">
        <f t="array" ref="AE5">SUMPRODUCT(('Capacity Heatmap'!$B$5:$B$26=$A5)*'Capacity Heatmap'!$D$5:$D$26*IF('Capacity Heatmap'!AE$5:AE$26&gt;1,0,1-'Capacity Heatmap'!AE$5:AE$26))</f>
        <v>79</v>
      </c>
      <c r="AF5" s="66" cm="1">
        <f t="array" ref="AF5">SUMPRODUCT(('Capacity Heatmap'!$B$5:$B$26=$A5)*'Capacity Heatmap'!$D$5:$D$26*IF('Capacity Heatmap'!AF$5:AF$26&gt;1,0,1-'Capacity Heatmap'!AF$5:AF$26))</f>
        <v>79</v>
      </c>
    </row>
    <row r="6" spans="1:32">
      <c r="A6" s="63" t="s">
        <v>82</v>
      </c>
      <c r="B6" s="64">
        <f>COUNTIF('Capacity Heatmap'!$B$5:$B$26,$A6)</f>
        <v>4</v>
      </c>
      <c r="C6" s="64">
        <f>SUMIF('Capacity Heatmap'!$B$5:$B$26,$A6,'Capacity Heatmap'!$D$5:$D$26)</f>
        <v>68.75</v>
      </c>
      <c r="D6" s="65">
        <f>IFERROR(AVERAGEIF('Team Roster'!$B$4:$B$25,$A6,'Team Roster'!$H$4:$H$25),0)</f>
        <v>0.3125</v>
      </c>
      <c r="E6" s="66" cm="1">
        <f t="array" ref="E6">SUMPRODUCT(('Capacity Heatmap'!$B$5:$B$26=$A6)*'Capacity Heatmap'!$D$5:$D$26*IF('Capacity Heatmap'!E$5:E$26&gt;1,0,1-'Capacity Heatmap'!E$5:E$26))</f>
        <v>47.880434782608695</v>
      </c>
      <c r="F6" s="66" cm="1">
        <f t="array" ref="F6">SUMPRODUCT(('Capacity Heatmap'!$B$5:$B$26=$A6)*'Capacity Heatmap'!$D$5:$D$26*IF('Capacity Heatmap'!F$5:F$26&gt;1,0,1-'Capacity Heatmap'!F$5:F$26))</f>
        <v>47.880434782608695</v>
      </c>
      <c r="G6" s="66" cm="1">
        <f t="array" ref="G6">SUMPRODUCT(('Capacity Heatmap'!$B$5:$B$26=$A6)*'Capacity Heatmap'!$D$5:$D$26*IF('Capacity Heatmap'!G$5:G$26&gt;1,0,1-'Capacity Heatmap'!G$5:G$26))</f>
        <v>47.880434782608695</v>
      </c>
      <c r="H6" s="66" cm="1">
        <f t="array" ref="H6">SUMPRODUCT(('Capacity Heatmap'!$B$5:$B$26=$A6)*'Capacity Heatmap'!$D$5:$D$26*IF('Capacity Heatmap'!H$5:H$26&gt;1,0,1-'Capacity Heatmap'!H$5:H$26))</f>
        <v>47.880434782608695</v>
      </c>
      <c r="I6" s="66" cm="1">
        <f t="array" ref="I6">SUMPRODUCT(('Capacity Heatmap'!$B$5:$B$26=$A6)*'Capacity Heatmap'!$D$5:$D$26*IF('Capacity Heatmap'!I$5:I$26&gt;1,0,1-'Capacity Heatmap'!I$5:I$26))</f>
        <v>47.880434782608695</v>
      </c>
      <c r="J6" s="66" cm="1">
        <f t="array" ref="J6">SUMPRODUCT(('Capacity Heatmap'!$B$5:$B$26=$A6)*'Capacity Heatmap'!$D$5:$D$26*IF('Capacity Heatmap'!J$5:J$26&gt;1,0,1-'Capacity Heatmap'!J$5:J$26))</f>
        <v>47.880434782608695</v>
      </c>
      <c r="K6" s="66" cm="1">
        <f t="array" ref="K6">SUMPRODUCT(('Capacity Heatmap'!$B$5:$B$26=$A6)*'Capacity Heatmap'!$D$5:$D$26*IF('Capacity Heatmap'!K$5:K$26&gt;1,0,1-'Capacity Heatmap'!K$5:K$26))</f>
        <v>47.880434782608695</v>
      </c>
      <c r="L6" s="66" cm="1">
        <f t="array" ref="L6">SUMPRODUCT(('Capacity Heatmap'!$B$5:$B$26=$A6)*'Capacity Heatmap'!$D$5:$D$26*IF('Capacity Heatmap'!L$5:L$26&gt;1,0,1-'Capacity Heatmap'!L$5:L$26))</f>
        <v>47.880434782608695</v>
      </c>
      <c r="M6" s="66" cm="1">
        <f t="array" ref="M6">SUMPRODUCT(('Capacity Heatmap'!$B$5:$B$26=$A6)*'Capacity Heatmap'!$D$5:$D$26*IF('Capacity Heatmap'!M$5:M$26&gt;1,0,1-'Capacity Heatmap'!M$5:M$26))</f>
        <v>47.880434782608695</v>
      </c>
      <c r="N6" s="66" cm="1">
        <f t="array" ref="N6">SUMPRODUCT(('Capacity Heatmap'!$B$5:$B$26=$A6)*'Capacity Heatmap'!$D$5:$D$26*IF('Capacity Heatmap'!N$5:N$26&gt;1,0,1-'Capacity Heatmap'!N$5:N$26))</f>
        <v>47.880434782608695</v>
      </c>
      <c r="O6" s="66" cm="1">
        <f t="array" ref="O6">SUMPRODUCT(('Capacity Heatmap'!$B$5:$B$26=$A6)*'Capacity Heatmap'!$D$5:$D$26*IF('Capacity Heatmap'!O$5:O$26&gt;1,0,1-'Capacity Heatmap'!O$5:O$26))</f>
        <v>47.880434782608695</v>
      </c>
      <c r="P6" s="66" cm="1">
        <f t="array" ref="P6">SUMPRODUCT(('Capacity Heatmap'!$B$5:$B$26=$A6)*'Capacity Heatmap'!$D$5:$D$26*IF('Capacity Heatmap'!P$5:P$26&gt;1,0,1-'Capacity Heatmap'!P$5:P$26))</f>
        <v>47.880434782608695</v>
      </c>
      <c r="Q6" s="66" cm="1">
        <f t="array" ref="Q6">SUMPRODUCT(('Capacity Heatmap'!$B$5:$B$26=$A6)*'Capacity Heatmap'!$D$5:$D$26*IF('Capacity Heatmap'!Q$5:Q$26&gt;1,0,1-'Capacity Heatmap'!Q$5:Q$26))</f>
        <v>47.880434782608695</v>
      </c>
      <c r="R6" s="66" cm="1">
        <f t="array" ref="R6">SUMPRODUCT(('Capacity Heatmap'!$B$5:$B$26=$A6)*'Capacity Heatmap'!$D$5:$D$26*IF('Capacity Heatmap'!R$5:R$26&gt;1,0,1-'Capacity Heatmap'!R$5:R$26))</f>
        <v>47.880434782608695</v>
      </c>
      <c r="S6" s="66" cm="1">
        <f t="array" ref="S6">SUMPRODUCT(('Capacity Heatmap'!$B$5:$B$26=$A6)*'Capacity Heatmap'!$D$5:$D$26*IF('Capacity Heatmap'!S$5:S$26&gt;1,0,1-'Capacity Heatmap'!S$5:S$26))</f>
        <v>47.880434782608695</v>
      </c>
      <c r="T6" s="66" cm="1">
        <f t="array" ref="T6">SUMPRODUCT(('Capacity Heatmap'!$B$5:$B$26=$A6)*'Capacity Heatmap'!$D$5:$D$26*IF('Capacity Heatmap'!T$5:T$26&gt;1,0,1-'Capacity Heatmap'!T$5:T$26))</f>
        <v>47.880434782608695</v>
      </c>
      <c r="U6" s="66" cm="1">
        <f t="array" ref="U6">SUMPRODUCT(('Capacity Heatmap'!$B$5:$B$26=$A6)*'Capacity Heatmap'!$D$5:$D$26*IF('Capacity Heatmap'!U$5:U$26&gt;1,0,1-'Capacity Heatmap'!U$5:U$26))</f>
        <v>47.880434782608695</v>
      </c>
      <c r="V6" s="66" cm="1">
        <f t="array" ref="V6">SUMPRODUCT(('Capacity Heatmap'!$B$5:$B$26=$A6)*'Capacity Heatmap'!$D$5:$D$26*IF('Capacity Heatmap'!V$5:V$26&gt;1,0,1-'Capacity Heatmap'!V$5:V$26))</f>
        <v>68.75</v>
      </c>
      <c r="W6" s="66" cm="1">
        <f t="array" ref="W6">SUMPRODUCT(('Capacity Heatmap'!$B$5:$B$26=$A6)*'Capacity Heatmap'!$D$5:$D$26*IF('Capacity Heatmap'!W$5:W$26&gt;1,0,1-'Capacity Heatmap'!W$5:W$26))</f>
        <v>68.75</v>
      </c>
      <c r="X6" s="66" cm="1">
        <f t="array" ref="X6">SUMPRODUCT(('Capacity Heatmap'!$B$5:$B$26=$A6)*'Capacity Heatmap'!$D$5:$D$26*IF('Capacity Heatmap'!X$5:X$26&gt;1,0,1-'Capacity Heatmap'!X$5:X$26))</f>
        <v>68.75</v>
      </c>
      <c r="Y6" s="66" cm="1">
        <f t="array" ref="Y6">SUMPRODUCT(('Capacity Heatmap'!$B$5:$B$26=$A6)*'Capacity Heatmap'!$D$5:$D$26*IF('Capacity Heatmap'!Y$5:Y$26&gt;1,0,1-'Capacity Heatmap'!Y$5:Y$26))</f>
        <v>68.75</v>
      </c>
      <c r="Z6" s="66" cm="1">
        <f t="array" ref="Z6">SUMPRODUCT(('Capacity Heatmap'!$B$5:$B$26=$A6)*'Capacity Heatmap'!$D$5:$D$26*IF('Capacity Heatmap'!Z$5:Z$26&gt;1,0,1-'Capacity Heatmap'!Z$5:Z$26))</f>
        <v>68.75</v>
      </c>
      <c r="AA6" s="66" cm="1">
        <f t="array" ref="AA6">SUMPRODUCT(('Capacity Heatmap'!$B$5:$B$26=$A6)*'Capacity Heatmap'!$D$5:$D$26*IF('Capacity Heatmap'!AA$5:AA$26&gt;1,0,1-'Capacity Heatmap'!AA$5:AA$26))</f>
        <v>68.75</v>
      </c>
      <c r="AB6" s="66" cm="1">
        <f t="array" ref="AB6">SUMPRODUCT(('Capacity Heatmap'!$B$5:$B$26=$A6)*'Capacity Heatmap'!$D$5:$D$26*IF('Capacity Heatmap'!AB$5:AB$26&gt;1,0,1-'Capacity Heatmap'!AB$5:AB$26))</f>
        <v>68.75</v>
      </c>
      <c r="AC6" s="66" cm="1">
        <f t="array" ref="AC6">SUMPRODUCT(('Capacity Heatmap'!$B$5:$B$26=$A6)*'Capacity Heatmap'!$D$5:$D$26*IF('Capacity Heatmap'!AC$5:AC$26&gt;1,0,1-'Capacity Heatmap'!AC$5:AC$26))</f>
        <v>68.75</v>
      </c>
      <c r="AD6" s="66" cm="1">
        <f t="array" ref="AD6">SUMPRODUCT(('Capacity Heatmap'!$B$5:$B$26=$A6)*'Capacity Heatmap'!$D$5:$D$26*IF('Capacity Heatmap'!AD$5:AD$26&gt;1,0,1-'Capacity Heatmap'!AD$5:AD$26))</f>
        <v>68.75</v>
      </c>
      <c r="AE6" s="66" cm="1">
        <f t="array" ref="AE6">SUMPRODUCT(('Capacity Heatmap'!$B$5:$B$26=$A6)*'Capacity Heatmap'!$D$5:$D$26*IF('Capacity Heatmap'!AE$5:AE$26&gt;1,0,1-'Capacity Heatmap'!AE$5:AE$26))</f>
        <v>68.75</v>
      </c>
      <c r="AF6" s="66" cm="1">
        <f t="array" ref="AF6">SUMPRODUCT(('Capacity Heatmap'!$B$5:$B$26=$A6)*'Capacity Heatmap'!$D$5:$D$26*IF('Capacity Heatmap'!AF$5:AF$26&gt;1,0,1-'Capacity Heatmap'!AF$5:AF$26))</f>
        <v>68.75</v>
      </c>
    </row>
    <row r="7" spans="1:32">
      <c r="A7" s="63" t="s">
        <v>64</v>
      </c>
      <c r="B7" s="64">
        <f>COUNTIF('Capacity Heatmap'!$B$5:$B$26,$A7)</f>
        <v>2</v>
      </c>
      <c r="C7" s="64">
        <f>SUMIF('Capacity Heatmap'!$B$5:$B$26,$A7,'Capacity Heatmap'!$D$5:$D$26)</f>
        <v>42</v>
      </c>
      <c r="D7" s="65">
        <f>IFERROR(AVERAGEIF('Team Roster'!$B$4:$B$25,$A7,'Team Roster'!$H$4:$H$25),0)</f>
        <v>0.4</v>
      </c>
      <c r="E7" s="66" cm="1">
        <f t="array" ref="E7">SUMPRODUCT(('Capacity Heatmap'!$B$5:$B$26=$A7)*'Capacity Heatmap'!$D$5:$D$26*IF('Capacity Heatmap'!E$5:E$26&gt;1,0,1-'Capacity Heatmap'!E$5:E$26))</f>
        <v>42</v>
      </c>
      <c r="F7" s="66" cm="1">
        <f t="array" ref="F7">SUMPRODUCT(('Capacity Heatmap'!$B$5:$B$26=$A7)*'Capacity Heatmap'!$D$5:$D$26*IF('Capacity Heatmap'!F$5:F$26&gt;1,0,1-'Capacity Heatmap'!F$5:F$26))</f>
        <v>42</v>
      </c>
      <c r="G7" s="66" cm="1">
        <f t="array" ref="G7">SUMPRODUCT(('Capacity Heatmap'!$B$5:$B$26=$A7)*'Capacity Heatmap'!$D$5:$D$26*IF('Capacity Heatmap'!G$5:G$26&gt;1,0,1-'Capacity Heatmap'!G$5:G$26))</f>
        <v>42</v>
      </c>
      <c r="H7" s="66" cm="1">
        <f t="array" ref="H7">SUMPRODUCT(('Capacity Heatmap'!$B$5:$B$26=$A7)*'Capacity Heatmap'!$D$5:$D$26*IF('Capacity Heatmap'!H$5:H$26&gt;1,0,1-'Capacity Heatmap'!H$5:H$26))</f>
        <v>42</v>
      </c>
      <c r="I7" s="66" cm="1">
        <f t="array" ref="I7">SUMPRODUCT(('Capacity Heatmap'!$B$5:$B$26=$A7)*'Capacity Heatmap'!$D$5:$D$26*IF('Capacity Heatmap'!I$5:I$26&gt;1,0,1-'Capacity Heatmap'!I$5:I$26))</f>
        <v>42</v>
      </c>
      <c r="J7" s="66" cm="1">
        <f t="array" ref="J7">SUMPRODUCT(('Capacity Heatmap'!$B$5:$B$26=$A7)*'Capacity Heatmap'!$D$5:$D$26*IF('Capacity Heatmap'!J$5:J$26&gt;1,0,1-'Capacity Heatmap'!J$5:J$26))</f>
        <v>42</v>
      </c>
      <c r="K7" s="66" cm="1">
        <f t="array" ref="K7">SUMPRODUCT(('Capacity Heatmap'!$B$5:$B$26=$A7)*'Capacity Heatmap'!$D$5:$D$26*IF('Capacity Heatmap'!K$5:K$26&gt;1,0,1-'Capacity Heatmap'!K$5:K$26))</f>
        <v>42</v>
      </c>
      <c r="L7" s="66" cm="1">
        <f t="array" ref="L7">SUMPRODUCT(('Capacity Heatmap'!$B$5:$B$26=$A7)*'Capacity Heatmap'!$D$5:$D$26*IF('Capacity Heatmap'!L$5:L$26&gt;1,0,1-'Capacity Heatmap'!L$5:L$26))</f>
        <v>38.25</v>
      </c>
      <c r="M7" s="66" cm="1">
        <f t="array" ref="M7">SUMPRODUCT(('Capacity Heatmap'!$B$5:$B$26=$A7)*'Capacity Heatmap'!$D$5:$D$26*IF('Capacity Heatmap'!M$5:M$26&gt;1,0,1-'Capacity Heatmap'!M$5:M$26))</f>
        <v>38.25</v>
      </c>
      <c r="N7" s="66" cm="1">
        <f t="array" ref="N7">SUMPRODUCT(('Capacity Heatmap'!$B$5:$B$26=$A7)*'Capacity Heatmap'!$D$5:$D$26*IF('Capacity Heatmap'!N$5:N$26&gt;1,0,1-'Capacity Heatmap'!N$5:N$26))</f>
        <v>38.25</v>
      </c>
      <c r="O7" s="66" cm="1">
        <f t="array" ref="O7">SUMPRODUCT(('Capacity Heatmap'!$B$5:$B$26=$A7)*'Capacity Heatmap'!$D$5:$D$26*IF('Capacity Heatmap'!O$5:O$26&gt;1,0,1-'Capacity Heatmap'!O$5:O$26))</f>
        <v>38.25</v>
      </c>
      <c r="P7" s="66" cm="1">
        <f t="array" ref="P7">SUMPRODUCT(('Capacity Heatmap'!$B$5:$B$26=$A7)*'Capacity Heatmap'!$D$5:$D$26*IF('Capacity Heatmap'!P$5:P$26&gt;1,0,1-'Capacity Heatmap'!P$5:P$26))</f>
        <v>38.25</v>
      </c>
      <c r="Q7" s="66" cm="1">
        <f t="array" ref="Q7">SUMPRODUCT(('Capacity Heatmap'!$B$5:$B$26=$A7)*'Capacity Heatmap'!$D$5:$D$26*IF('Capacity Heatmap'!Q$5:Q$26&gt;1,0,1-'Capacity Heatmap'!Q$5:Q$26))</f>
        <v>38.25</v>
      </c>
      <c r="R7" s="66" cm="1">
        <f t="array" ref="R7">SUMPRODUCT(('Capacity Heatmap'!$B$5:$B$26=$A7)*'Capacity Heatmap'!$D$5:$D$26*IF('Capacity Heatmap'!R$5:R$26&gt;1,0,1-'Capacity Heatmap'!R$5:R$26))</f>
        <v>38.25</v>
      </c>
      <c r="S7" s="66" cm="1">
        <f t="array" ref="S7">SUMPRODUCT(('Capacity Heatmap'!$B$5:$B$26=$A7)*'Capacity Heatmap'!$D$5:$D$26*IF('Capacity Heatmap'!S$5:S$26&gt;1,0,1-'Capacity Heatmap'!S$5:S$26))</f>
        <v>38.25</v>
      </c>
      <c r="T7" s="66" cm="1">
        <f t="array" ref="T7">SUMPRODUCT(('Capacity Heatmap'!$B$5:$B$26=$A7)*'Capacity Heatmap'!$D$5:$D$26*IF('Capacity Heatmap'!T$5:T$26&gt;1,0,1-'Capacity Heatmap'!T$5:T$26))</f>
        <v>38.25</v>
      </c>
      <c r="U7" s="66" cm="1">
        <f t="array" ref="U7">SUMPRODUCT(('Capacity Heatmap'!$B$5:$B$26=$A7)*'Capacity Heatmap'!$D$5:$D$26*IF('Capacity Heatmap'!U$5:U$26&gt;1,0,1-'Capacity Heatmap'!U$5:U$26))</f>
        <v>42</v>
      </c>
      <c r="V7" s="66" cm="1">
        <f t="array" ref="V7">SUMPRODUCT(('Capacity Heatmap'!$B$5:$B$26=$A7)*'Capacity Heatmap'!$D$5:$D$26*IF('Capacity Heatmap'!V$5:V$26&gt;1,0,1-'Capacity Heatmap'!V$5:V$26))</f>
        <v>42</v>
      </c>
      <c r="W7" s="66" cm="1">
        <f t="array" ref="W7">SUMPRODUCT(('Capacity Heatmap'!$B$5:$B$26=$A7)*'Capacity Heatmap'!$D$5:$D$26*IF('Capacity Heatmap'!W$5:W$26&gt;1,0,1-'Capacity Heatmap'!W$5:W$26))</f>
        <v>42</v>
      </c>
      <c r="X7" s="66" cm="1">
        <f t="array" ref="X7">SUMPRODUCT(('Capacity Heatmap'!$B$5:$B$26=$A7)*'Capacity Heatmap'!$D$5:$D$26*IF('Capacity Heatmap'!X$5:X$26&gt;1,0,1-'Capacity Heatmap'!X$5:X$26))</f>
        <v>42</v>
      </c>
      <c r="Y7" s="66" cm="1">
        <f t="array" ref="Y7">SUMPRODUCT(('Capacity Heatmap'!$B$5:$B$26=$A7)*'Capacity Heatmap'!$D$5:$D$26*IF('Capacity Heatmap'!Y$5:Y$26&gt;1,0,1-'Capacity Heatmap'!Y$5:Y$26))</f>
        <v>42</v>
      </c>
      <c r="Z7" s="66" cm="1">
        <f t="array" ref="Z7">SUMPRODUCT(('Capacity Heatmap'!$B$5:$B$26=$A7)*'Capacity Heatmap'!$D$5:$D$26*IF('Capacity Heatmap'!Z$5:Z$26&gt;1,0,1-'Capacity Heatmap'!Z$5:Z$26))</f>
        <v>42</v>
      </c>
      <c r="AA7" s="66" cm="1">
        <f t="array" ref="AA7">SUMPRODUCT(('Capacity Heatmap'!$B$5:$B$26=$A7)*'Capacity Heatmap'!$D$5:$D$26*IF('Capacity Heatmap'!AA$5:AA$26&gt;1,0,1-'Capacity Heatmap'!AA$5:AA$26))</f>
        <v>42</v>
      </c>
      <c r="AB7" s="66" cm="1">
        <f t="array" ref="AB7">SUMPRODUCT(('Capacity Heatmap'!$B$5:$B$26=$A7)*'Capacity Heatmap'!$D$5:$D$26*IF('Capacity Heatmap'!AB$5:AB$26&gt;1,0,1-'Capacity Heatmap'!AB$5:AB$26))</f>
        <v>42</v>
      </c>
      <c r="AC7" s="66" cm="1">
        <f t="array" ref="AC7">SUMPRODUCT(('Capacity Heatmap'!$B$5:$B$26=$A7)*'Capacity Heatmap'!$D$5:$D$26*IF('Capacity Heatmap'!AC$5:AC$26&gt;1,0,1-'Capacity Heatmap'!AC$5:AC$26))</f>
        <v>42</v>
      </c>
      <c r="AD7" s="66" cm="1">
        <f t="array" ref="AD7">SUMPRODUCT(('Capacity Heatmap'!$B$5:$B$26=$A7)*'Capacity Heatmap'!$D$5:$D$26*IF('Capacity Heatmap'!AD$5:AD$26&gt;1,0,1-'Capacity Heatmap'!AD$5:AD$26))</f>
        <v>42</v>
      </c>
      <c r="AE7" s="66" cm="1">
        <f t="array" ref="AE7">SUMPRODUCT(('Capacity Heatmap'!$B$5:$B$26=$A7)*'Capacity Heatmap'!$D$5:$D$26*IF('Capacity Heatmap'!AE$5:AE$26&gt;1,0,1-'Capacity Heatmap'!AE$5:AE$26))</f>
        <v>42</v>
      </c>
      <c r="AF7" s="66" cm="1">
        <f t="array" ref="AF7">SUMPRODUCT(('Capacity Heatmap'!$B$5:$B$26=$A7)*'Capacity Heatmap'!$D$5:$D$26*IF('Capacity Heatmap'!AF$5:AF$26&gt;1,0,1-'Capacity Heatmap'!AF$5:AF$26))</f>
        <v>42</v>
      </c>
    </row>
    <row r="8" spans="1:32">
      <c r="A8" s="67" t="s">
        <v>26</v>
      </c>
      <c r="B8" s="68">
        <f>COUNTIF('Capacity Heatmap'!$B$5:$B$26,$A8)</f>
        <v>3</v>
      </c>
      <c r="C8" s="68">
        <f>SUMIF('Capacity Heatmap'!$B$5:$B$26,$A8,'Capacity Heatmap'!$D$5:$D$26)</f>
        <v>48</v>
      </c>
      <c r="D8" s="69">
        <f>IFERROR(AVERAGEIF('Team Roster'!$B$4:$B$25,$A8,'Team Roster'!$H$4:$H$25),0)</f>
        <v>0.6</v>
      </c>
      <c r="E8" s="70" cm="1">
        <f t="array" ref="E8">SUMPRODUCT(('Capacity Heatmap'!$B$5:$B$26=$A8)*'Capacity Heatmap'!$D$5:$D$26*IF('Capacity Heatmap'!E$5:E$26&gt;1,0,1-'Capacity Heatmap'!E$5:E$26))</f>
        <v>48</v>
      </c>
      <c r="F8" s="70" cm="1">
        <f t="array" ref="F8">SUMPRODUCT(('Capacity Heatmap'!$B$5:$B$26=$A8)*'Capacity Heatmap'!$D$5:$D$26*IF('Capacity Heatmap'!F$5:F$26&gt;1,0,1-'Capacity Heatmap'!F$5:F$26))</f>
        <v>48</v>
      </c>
      <c r="G8" s="70" cm="1">
        <f t="array" ref="G8">SUMPRODUCT(('Capacity Heatmap'!$B$5:$B$26=$A8)*'Capacity Heatmap'!$D$5:$D$26*IF('Capacity Heatmap'!G$5:G$26&gt;1,0,1-'Capacity Heatmap'!G$5:G$26))</f>
        <v>48</v>
      </c>
      <c r="H8" s="70" cm="1">
        <f t="array" ref="H8">SUMPRODUCT(('Capacity Heatmap'!$B$5:$B$26=$A8)*'Capacity Heatmap'!$D$5:$D$26*IF('Capacity Heatmap'!H$5:H$26&gt;1,0,1-'Capacity Heatmap'!H$5:H$26))</f>
        <v>48</v>
      </c>
      <c r="I8" s="70" cm="1">
        <f t="array" ref="I8">SUMPRODUCT(('Capacity Heatmap'!$B$5:$B$26=$A8)*'Capacity Heatmap'!$D$5:$D$26*IF('Capacity Heatmap'!I$5:I$26&gt;1,0,1-'Capacity Heatmap'!I$5:I$26))</f>
        <v>48</v>
      </c>
      <c r="J8" s="70" cm="1">
        <f t="array" ref="J8">SUMPRODUCT(('Capacity Heatmap'!$B$5:$B$26=$A8)*'Capacity Heatmap'!$D$5:$D$26*IF('Capacity Heatmap'!J$5:J$26&gt;1,0,1-'Capacity Heatmap'!J$5:J$26))</f>
        <v>48</v>
      </c>
      <c r="K8" s="70" cm="1">
        <f t="array" ref="K8">SUMPRODUCT(('Capacity Heatmap'!$B$5:$B$26=$A8)*'Capacity Heatmap'!$D$5:$D$26*IF('Capacity Heatmap'!K$5:K$26&gt;1,0,1-'Capacity Heatmap'!K$5:K$26))</f>
        <v>48</v>
      </c>
      <c r="L8" s="70" cm="1">
        <f t="array" ref="L8">SUMPRODUCT(('Capacity Heatmap'!$B$5:$B$26=$A8)*'Capacity Heatmap'!$D$5:$D$26*IF('Capacity Heatmap'!L$5:L$26&gt;1,0,1-'Capacity Heatmap'!L$5:L$26))</f>
        <v>48</v>
      </c>
      <c r="M8" s="70" cm="1">
        <f t="array" ref="M8">SUMPRODUCT(('Capacity Heatmap'!$B$5:$B$26=$A8)*'Capacity Heatmap'!$D$5:$D$26*IF('Capacity Heatmap'!M$5:M$26&gt;1,0,1-'Capacity Heatmap'!M$5:M$26))</f>
        <v>48</v>
      </c>
      <c r="N8" s="70" cm="1">
        <f t="array" ref="N8">SUMPRODUCT(('Capacity Heatmap'!$B$5:$B$26=$A8)*'Capacity Heatmap'!$D$5:$D$26*IF('Capacity Heatmap'!N$5:N$26&gt;1,0,1-'Capacity Heatmap'!N$5:N$26))</f>
        <v>48</v>
      </c>
      <c r="O8" s="70" cm="1">
        <f t="array" ref="O8">SUMPRODUCT(('Capacity Heatmap'!$B$5:$B$26=$A8)*'Capacity Heatmap'!$D$5:$D$26*IF('Capacity Heatmap'!O$5:O$26&gt;1,0,1-'Capacity Heatmap'!O$5:O$26))</f>
        <v>48</v>
      </c>
      <c r="P8" s="70" cm="1">
        <f t="array" ref="P8">SUMPRODUCT(('Capacity Heatmap'!$B$5:$B$26=$A8)*'Capacity Heatmap'!$D$5:$D$26*IF('Capacity Heatmap'!P$5:P$26&gt;1,0,1-'Capacity Heatmap'!P$5:P$26))</f>
        <v>48</v>
      </c>
      <c r="Q8" s="70" cm="1">
        <f t="array" ref="Q8">SUMPRODUCT(('Capacity Heatmap'!$B$5:$B$26=$A8)*'Capacity Heatmap'!$D$5:$D$26*IF('Capacity Heatmap'!Q$5:Q$26&gt;1,0,1-'Capacity Heatmap'!Q$5:Q$26))</f>
        <v>48</v>
      </c>
      <c r="R8" s="70" cm="1">
        <f t="array" ref="R8">SUMPRODUCT(('Capacity Heatmap'!$B$5:$B$26=$A8)*'Capacity Heatmap'!$D$5:$D$26*IF('Capacity Heatmap'!R$5:R$26&gt;1,0,1-'Capacity Heatmap'!R$5:R$26))</f>
        <v>48</v>
      </c>
      <c r="S8" s="70" cm="1">
        <f t="array" ref="S8">SUMPRODUCT(('Capacity Heatmap'!$B$5:$B$26=$A8)*'Capacity Heatmap'!$D$5:$D$26*IF('Capacity Heatmap'!S$5:S$26&gt;1,0,1-'Capacity Heatmap'!S$5:S$26))</f>
        <v>48</v>
      </c>
      <c r="T8" s="70" cm="1">
        <f t="array" ref="T8">SUMPRODUCT(('Capacity Heatmap'!$B$5:$B$26=$A8)*'Capacity Heatmap'!$D$5:$D$26*IF('Capacity Heatmap'!T$5:T$26&gt;1,0,1-'Capacity Heatmap'!T$5:T$26))</f>
        <v>48</v>
      </c>
      <c r="U8" s="70" cm="1">
        <f t="array" ref="U8">SUMPRODUCT(('Capacity Heatmap'!$B$5:$B$26=$A8)*'Capacity Heatmap'!$D$5:$D$26*IF('Capacity Heatmap'!U$5:U$26&gt;1,0,1-'Capacity Heatmap'!U$5:U$26))</f>
        <v>48</v>
      </c>
      <c r="V8" s="70" cm="1">
        <f t="array" ref="V8">SUMPRODUCT(('Capacity Heatmap'!$B$5:$B$26=$A8)*'Capacity Heatmap'!$D$5:$D$26*IF('Capacity Heatmap'!V$5:V$26&gt;1,0,1-'Capacity Heatmap'!V$5:V$26))</f>
        <v>48</v>
      </c>
      <c r="W8" s="70" cm="1">
        <f t="array" ref="W8">SUMPRODUCT(('Capacity Heatmap'!$B$5:$B$26=$A8)*'Capacity Heatmap'!$D$5:$D$26*IF('Capacity Heatmap'!W$5:W$26&gt;1,0,1-'Capacity Heatmap'!W$5:W$26))</f>
        <v>48</v>
      </c>
      <c r="X8" s="70" cm="1">
        <f t="array" ref="X8">SUMPRODUCT(('Capacity Heatmap'!$B$5:$B$26=$A8)*'Capacity Heatmap'!$D$5:$D$26*IF('Capacity Heatmap'!X$5:X$26&gt;1,0,1-'Capacity Heatmap'!X$5:X$26))</f>
        <v>48</v>
      </c>
      <c r="Y8" s="70" cm="1">
        <f t="array" ref="Y8">SUMPRODUCT(('Capacity Heatmap'!$B$5:$B$26=$A8)*'Capacity Heatmap'!$D$5:$D$26*IF('Capacity Heatmap'!Y$5:Y$26&gt;1,0,1-'Capacity Heatmap'!Y$5:Y$26))</f>
        <v>48</v>
      </c>
      <c r="Z8" s="70" cm="1">
        <f t="array" ref="Z8">SUMPRODUCT(('Capacity Heatmap'!$B$5:$B$26=$A8)*'Capacity Heatmap'!$D$5:$D$26*IF('Capacity Heatmap'!Z$5:Z$26&gt;1,0,1-'Capacity Heatmap'!Z$5:Z$26))</f>
        <v>48</v>
      </c>
      <c r="AA8" s="70" cm="1">
        <f t="array" ref="AA8">SUMPRODUCT(('Capacity Heatmap'!$B$5:$B$26=$A8)*'Capacity Heatmap'!$D$5:$D$26*IF('Capacity Heatmap'!AA$5:AA$26&gt;1,0,1-'Capacity Heatmap'!AA$5:AA$26))</f>
        <v>48</v>
      </c>
      <c r="AB8" s="70" cm="1">
        <f t="array" ref="AB8">SUMPRODUCT(('Capacity Heatmap'!$B$5:$B$26=$A8)*'Capacity Heatmap'!$D$5:$D$26*IF('Capacity Heatmap'!AB$5:AB$26&gt;1,0,1-'Capacity Heatmap'!AB$5:AB$26))</f>
        <v>48</v>
      </c>
      <c r="AC8" s="70" cm="1">
        <f t="array" ref="AC8">SUMPRODUCT(('Capacity Heatmap'!$B$5:$B$26=$A8)*'Capacity Heatmap'!$D$5:$D$26*IF('Capacity Heatmap'!AC$5:AC$26&gt;1,0,1-'Capacity Heatmap'!AC$5:AC$26))</f>
        <v>48</v>
      </c>
      <c r="AD8" s="70" cm="1">
        <f t="array" ref="AD8">SUMPRODUCT(('Capacity Heatmap'!$B$5:$B$26=$A8)*'Capacity Heatmap'!$D$5:$D$26*IF('Capacity Heatmap'!AD$5:AD$26&gt;1,0,1-'Capacity Heatmap'!AD$5:AD$26))</f>
        <v>48</v>
      </c>
      <c r="AE8" s="70" cm="1">
        <f t="array" ref="AE8">SUMPRODUCT(('Capacity Heatmap'!$B$5:$B$26=$A8)*'Capacity Heatmap'!$D$5:$D$26*IF('Capacity Heatmap'!AE$5:AE$26&gt;1,0,1-'Capacity Heatmap'!AE$5:AE$26))</f>
        <v>48</v>
      </c>
      <c r="AF8" s="70" cm="1">
        <f t="array" ref="AF8">SUMPRODUCT(('Capacity Heatmap'!$B$5:$B$26=$A8)*'Capacity Heatmap'!$D$5:$D$26*IF('Capacity Heatmap'!AF$5:AF$26&gt;1,0,1-'Capacity Heatmap'!AF$5:AF$26))</f>
        <v>48</v>
      </c>
    </row>
    <row r="9" spans="1:32">
      <c r="A9" s="63" t="s">
        <v>90</v>
      </c>
      <c r="B9" s="64">
        <f>COUNTIF('Capacity Heatmap'!$B$5:$B$26,$A9)</f>
        <v>2</v>
      </c>
      <c r="C9" s="64">
        <f>SUMIF('Capacity Heatmap'!$B$5:$B$26,$A9,'Capacity Heatmap'!$D$5:$D$26)</f>
        <v>43.75</v>
      </c>
      <c r="D9" s="65">
        <f>IFERROR(AVERAGEIF('Team Roster'!$B$4:$B$25,$A9,'Team Roster'!$H$4:$H$25),0)</f>
        <v>0.47666666666666674</v>
      </c>
      <c r="E9" s="66" cm="1">
        <f t="array" ref="E9">SUMPRODUCT(('Capacity Heatmap'!$B$5:$B$26=$A9)*'Capacity Heatmap'!$D$5:$D$26*IF('Capacity Heatmap'!E$5:E$26&gt;1,0,1-'Capacity Heatmap'!E$5:E$26))</f>
        <v>43.75</v>
      </c>
      <c r="F9" s="66" cm="1">
        <f t="array" ref="F9">SUMPRODUCT(('Capacity Heatmap'!$B$5:$B$26=$A9)*'Capacity Heatmap'!$D$5:$D$26*IF('Capacity Heatmap'!F$5:F$26&gt;1,0,1-'Capacity Heatmap'!F$5:F$26))</f>
        <v>43.75</v>
      </c>
      <c r="G9" s="66" cm="1">
        <f t="array" ref="G9">SUMPRODUCT(('Capacity Heatmap'!$B$5:$B$26=$A9)*'Capacity Heatmap'!$D$5:$D$26*IF('Capacity Heatmap'!G$5:G$26&gt;1,0,1-'Capacity Heatmap'!G$5:G$26))</f>
        <v>43.75</v>
      </c>
      <c r="H9" s="66" cm="1">
        <f t="array" ref="H9">SUMPRODUCT(('Capacity Heatmap'!$B$5:$B$26=$A9)*'Capacity Heatmap'!$D$5:$D$26*IF('Capacity Heatmap'!H$5:H$26&gt;1,0,1-'Capacity Heatmap'!H$5:H$26))</f>
        <v>43.75</v>
      </c>
      <c r="I9" s="66" cm="1">
        <f t="array" ref="I9">SUMPRODUCT(('Capacity Heatmap'!$B$5:$B$26=$A9)*'Capacity Heatmap'!$D$5:$D$26*IF('Capacity Heatmap'!I$5:I$26&gt;1,0,1-'Capacity Heatmap'!I$5:I$26))</f>
        <v>43.75</v>
      </c>
      <c r="J9" s="66" cm="1">
        <f t="array" ref="J9">SUMPRODUCT(('Capacity Heatmap'!$B$5:$B$26=$A9)*'Capacity Heatmap'!$D$5:$D$26*IF('Capacity Heatmap'!J$5:J$26&gt;1,0,1-'Capacity Heatmap'!J$5:J$26))</f>
        <v>43.75</v>
      </c>
      <c r="K9" s="66" cm="1">
        <f t="array" ref="K9">SUMPRODUCT(('Capacity Heatmap'!$B$5:$B$26=$A9)*'Capacity Heatmap'!$D$5:$D$26*IF('Capacity Heatmap'!K$5:K$26&gt;1,0,1-'Capacity Heatmap'!K$5:K$26))</f>
        <v>40.75</v>
      </c>
      <c r="L9" s="66" cm="1">
        <f t="array" ref="L9">SUMPRODUCT(('Capacity Heatmap'!$B$5:$B$26=$A9)*'Capacity Heatmap'!$D$5:$D$26*IF('Capacity Heatmap'!L$5:L$26&gt;1,0,1-'Capacity Heatmap'!L$5:L$26))</f>
        <v>40.75</v>
      </c>
      <c r="M9" s="66" cm="1">
        <f t="array" ref="M9">SUMPRODUCT(('Capacity Heatmap'!$B$5:$B$26=$A9)*'Capacity Heatmap'!$D$5:$D$26*IF('Capacity Heatmap'!M$5:M$26&gt;1,0,1-'Capacity Heatmap'!M$5:M$26))</f>
        <v>40.75</v>
      </c>
      <c r="N9" s="66" cm="1">
        <f t="array" ref="N9">SUMPRODUCT(('Capacity Heatmap'!$B$5:$B$26=$A9)*'Capacity Heatmap'!$D$5:$D$26*IF('Capacity Heatmap'!N$5:N$26&gt;1,0,1-'Capacity Heatmap'!N$5:N$26))</f>
        <v>40.75</v>
      </c>
      <c r="O9" s="66" cm="1">
        <f t="array" ref="O9">SUMPRODUCT(('Capacity Heatmap'!$B$5:$B$26=$A9)*'Capacity Heatmap'!$D$5:$D$26*IF('Capacity Heatmap'!O$5:O$26&gt;1,0,1-'Capacity Heatmap'!O$5:O$26))</f>
        <v>40.75</v>
      </c>
      <c r="P9" s="66" cm="1">
        <f t="array" ref="P9">SUMPRODUCT(('Capacity Heatmap'!$B$5:$B$26=$A9)*'Capacity Heatmap'!$D$5:$D$26*IF('Capacity Heatmap'!P$5:P$26&gt;1,0,1-'Capacity Heatmap'!P$5:P$26))</f>
        <v>40.75</v>
      </c>
      <c r="Q9" s="66" cm="1">
        <f t="array" ref="Q9">SUMPRODUCT(('Capacity Heatmap'!$B$5:$B$26=$A9)*'Capacity Heatmap'!$D$5:$D$26*IF('Capacity Heatmap'!Q$5:Q$26&gt;1,0,1-'Capacity Heatmap'!Q$5:Q$26))</f>
        <v>40.75</v>
      </c>
      <c r="R9" s="66" cm="1">
        <f t="array" ref="R9">SUMPRODUCT(('Capacity Heatmap'!$B$5:$B$26=$A9)*'Capacity Heatmap'!$D$5:$D$26*IF('Capacity Heatmap'!R$5:R$26&gt;1,0,1-'Capacity Heatmap'!R$5:R$26))</f>
        <v>40.75</v>
      </c>
      <c r="S9" s="66" cm="1">
        <f t="array" ref="S9">SUMPRODUCT(('Capacity Heatmap'!$B$5:$B$26=$A9)*'Capacity Heatmap'!$D$5:$D$26*IF('Capacity Heatmap'!S$5:S$26&gt;1,0,1-'Capacity Heatmap'!S$5:S$26))</f>
        <v>40.75</v>
      </c>
      <c r="T9" s="66" cm="1">
        <f t="array" ref="T9">SUMPRODUCT(('Capacity Heatmap'!$B$5:$B$26=$A9)*'Capacity Heatmap'!$D$5:$D$26*IF('Capacity Heatmap'!T$5:T$26&gt;1,0,1-'Capacity Heatmap'!T$5:T$26))</f>
        <v>40.75</v>
      </c>
      <c r="U9" s="66" cm="1">
        <f t="array" ref="U9">SUMPRODUCT(('Capacity Heatmap'!$B$5:$B$26=$A9)*'Capacity Heatmap'!$D$5:$D$26*IF('Capacity Heatmap'!U$5:U$26&gt;1,0,1-'Capacity Heatmap'!U$5:U$26))</f>
        <v>40.75</v>
      </c>
      <c r="V9" s="66" cm="1">
        <f t="array" ref="V9">SUMPRODUCT(('Capacity Heatmap'!$B$5:$B$26=$A9)*'Capacity Heatmap'!$D$5:$D$26*IF('Capacity Heatmap'!V$5:V$26&gt;1,0,1-'Capacity Heatmap'!V$5:V$26))</f>
        <v>40.75</v>
      </c>
      <c r="W9" s="66" cm="1">
        <f t="array" ref="W9">SUMPRODUCT(('Capacity Heatmap'!$B$5:$B$26=$A9)*'Capacity Heatmap'!$D$5:$D$26*IF('Capacity Heatmap'!W$5:W$26&gt;1,0,1-'Capacity Heatmap'!W$5:W$26))</f>
        <v>40.75</v>
      </c>
      <c r="X9" s="66" cm="1">
        <f t="array" ref="X9">SUMPRODUCT(('Capacity Heatmap'!$B$5:$B$26=$A9)*'Capacity Heatmap'!$D$5:$D$26*IF('Capacity Heatmap'!X$5:X$26&gt;1,0,1-'Capacity Heatmap'!X$5:X$26))</f>
        <v>40.75</v>
      </c>
      <c r="Y9" s="66" cm="1">
        <f t="array" ref="Y9">SUMPRODUCT(('Capacity Heatmap'!$B$5:$B$26=$A9)*'Capacity Heatmap'!$D$5:$D$26*IF('Capacity Heatmap'!Y$5:Y$26&gt;1,0,1-'Capacity Heatmap'!Y$5:Y$26))</f>
        <v>40.75</v>
      </c>
      <c r="Z9" s="66" cm="1">
        <f t="array" ref="Z9">SUMPRODUCT(('Capacity Heatmap'!$B$5:$B$26=$A9)*'Capacity Heatmap'!$D$5:$D$26*IF('Capacity Heatmap'!Z$5:Z$26&gt;1,0,1-'Capacity Heatmap'!Z$5:Z$26))</f>
        <v>40.75</v>
      </c>
      <c r="AA9" s="66" cm="1">
        <f t="array" ref="AA9">SUMPRODUCT(('Capacity Heatmap'!$B$5:$B$26=$A9)*'Capacity Heatmap'!$D$5:$D$26*IF('Capacity Heatmap'!AA$5:AA$26&gt;1,0,1-'Capacity Heatmap'!AA$5:AA$26))</f>
        <v>40.75</v>
      </c>
      <c r="AB9" s="66" cm="1">
        <f t="array" ref="AB9">SUMPRODUCT(('Capacity Heatmap'!$B$5:$B$26=$A9)*'Capacity Heatmap'!$D$5:$D$26*IF('Capacity Heatmap'!AB$5:AB$26&gt;1,0,1-'Capacity Heatmap'!AB$5:AB$26))</f>
        <v>40.75</v>
      </c>
      <c r="AC9" s="66" cm="1">
        <f t="array" ref="AC9">SUMPRODUCT(('Capacity Heatmap'!$B$5:$B$26=$A9)*'Capacity Heatmap'!$D$5:$D$26*IF('Capacity Heatmap'!AC$5:AC$26&gt;1,0,1-'Capacity Heatmap'!AC$5:AC$26))</f>
        <v>40.75</v>
      </c>
      <c r="AD9" s="66" cm="1">
        <f t="array" ref="AD9">SUMPRODUCT(('Capacity Heatmap'!$B$5:$B$26=$A9)*'Capacity Heatmap'!$D$5:$D$26*IF('Capacity Heatmap'!AD$5:AD$26&gt;1,0,1-'Capacity Heatmap'!AD$5:AD$26))</f>
        <v>40.75</v>
      </c>
      <c r="AE9" s="66" cm="1">
        <f t="array" ref="AE9">SUMPRODUCT(('Capacity Heatmap'!$B$5:$B$26=$A9)*'Capacity Heatmap'!$D$5:$D$26*IF('Capacity Heatmap'!AE$5:AE$26&gt;1,0,1-'Capacity Heatmap'!AE$5:AE$26))</f>
        <v>43.75</v>
      </c>
      <c r="AF9" s="66" cm="1">
        <f t="array" ref="AF9">SUMPRODUCT(('Capacity Heatmap'!$B$5:$B$26=$A9)*'Capacity Heatmap'!$D$5:$D$26*IF('Capacity Heatmap'!AF$5:AF$26&gt;1,0,1-'Capacity Heatmap'!AF$5:AF$26))</f>
        <v>43.75</v>
      </c>
    </row>
    <row r="10" spans="1:32">
      <c r="A10" s="63" t="s">
        <v>69</v>
      </c>
      <c r="B10" s="64">
        <f>COUNTIF('Capacity Heatmap'!$B$5:$B$26,$A10)</f>
        <v>5</v>
      </c>
      <c r="C10" s="64">
        <f>SUMIF('Capacity Heatmap'!$B$5:$B$26,$A10,'Capacity Heatmap'!$D$5:$D$26)</f>
        <v>126</v>
      </c>
      <c r="D10" s="65">
        <f>IFERROR(AVERAGEIF('Team Roster'!$B$4:$B$25,$A10,'Team Roster'!$H$4:$H$25),0)</f>
        <v>0.27999999999999997</v>
      </c>
      <c r="E10" s="66" cm="1">
        <f t="array" ref="E10">SUMPRODUCT(('Capacity Heatmap'!$B$5:$B$26=$A10)*'Capacity Heatmap'!$D$5:$D$26*IF('Capacity Heatmap'!E$5:E$26&gt;1,0,1-'Capacity Heatmap'!E$5:E$26))</f>
        <v>126</v>
      </c>
      <c r="F10" s="66" cm="1">
        <f t="array" ref="F10">SUMPRODUCT(('Capacity Heatmap'!$B$5:$B$26=$A10)*'Capacity Heatmap'!$D$5:$D$26*IF('Capacity Heatmap'!F$5:F$26&gt;1,0,1-'Capacity Heatmap'!F$5:F$26))</f>
        <v>126</v>
      </c>
      <c r="G10" s="66" cm="1">
        <f t="array" ref="G10">SUMPRODUCT(('Capacity Heatmap'!$B$5:$B$26=$A10)*'Capacity Heatmap'!$D$5:$D$26*IF('Capacity Heatmap'!G$5:G$26&gt;1,0,1-'Capacity Heatmap'!G$5:G$26))</f>
        <v>126</v>
      </c>
      <c r="H10" s="66" cm="1">
        <f t="array" ref="H10">SUMPRODUCT(('Capacity Heatmap'!$B$5:$B$26=$A10)*'Capacity Heatmap'!$D$5:$D$26*IF('Capacity Heatmap'!H$5:H$26&gt;1,0,1-'Capacity Heatmap'!H$5:H$26))</f>
        <v>126</v>
      </c>
      <c r="I10" s="66" cm="1">
        <f t="array" ref="I10">SUMPRODUCT(('Capacity Heatmap'!$B$5:$B$26=$A10)*'Capacity Heatmap'!$D$5:$D$26*IF('Capacity Heatmap'!I$5:I$26&gt;1,0,1-'Capacity Heatmap'!I$5:I$26))</f>
        <v>126</v>
      </c>
      <c r="J10" s="66" cm="1">
        <f t="array" ref="J10">SUMPRODUCT(('Capacity Heatmap'!$B$5:$B$26=$A10)*'Capacity Heatmap'!$D$5:$D$26*IF('Capacity Heatmap'!J$5:J$26&gt;1,0,1-'Capacity Heatmap'!J$5:J$26))</f>
        <v>126</v>
      </c>
      <c r="K10" s="66" cm="1">
        <f t="array" ref="K10">SUMPRODUCT(('Capacity Heatmap'!$B$5:$B$26=$A10)*'Capacity Heatmap'!$D$5:$D$26*IF('Capacity Heatmap'!K$5:K$26&gt;1,0,1-'Capacity Heatmap'!K$5:K$26))</f>
        <v>126</v>
      </c>
      <c r="L10" s="66" cm="1">
        <f t="array" ref="L10">SUMPRODUCT(('Capacity Heatmap'!$B$5:$B$26=$A10)*'Capacity Heatmap'!$D$5:$D$26*IF('Capacity Heatmap'!L$5:L$26&gt;1,0,1-'Capacity Heatmap'!L$5:L$26))</f>
        <v>116.25</v>
      </c>
      <c r="M10" s="66" cm="1">
        <f t="array" ref="M10">SUMPRODUCT(('Capacity Heatmap'!$B$5:$B$26=$A10)*'Capacity Heatmap'!$D$5:$D$26*IF('Capacity Heatmap'!M$5:M$26&gt;1,0,1-'Capacity Heatmap'!M$5:M$26))</f>
        <v>116.25</v>
      </c>
      <c r="N10" s="66" cm="1">
        <f t="array" ref="N10">SUMPRODUCT(('Capacity Heatmap'!$B$5:$B$26=$A10)*'Capacity Heatmap'!$D$5:$D$26*IF('Capacity Heatmap'!N$5:N$26&gt;1,0,1-'Capacity Heatmap'!N$5:N$26))</f>
        <v>116.25</v>
      </c>
      <c r="O10" s="66" cm="1">
        <f t="array" ref="O10">SUMPRODUCT(('Capacity Heatmap'!$B$5:$B$26=$A10)*'Capacity Heatmap'!$D$5:$D$26*IF('Capacity Heatmap'!O$5:O$26&gt;1,0,1-'Capacity Heatmap'!O$5:O$26))</f>
        <v>116.25</v>
      </c>
      <c r="P10" s="66" cm="1">
        <f t="array" ref="P10">SUMPRODUCT(('Capacity Heatmap'!$B$5:$B$26=$A10)*'Capacity Heatmap'!$D$5:$D$26*IF('Capacity Heatmap'!P$5:P$26&gt;1,0,1-'Capacity Heatmap'!P$5:P$26))</f>
        <v>116.25</v>
      </c>
      <c r="Q10" s="66" cm="1">
        <f t="array" ref="Q10">SUMPRODUCT(('Capacity Heatmap'!$B$5:$B$26=$A10)*'Capacity Heatmap'!$D$5:$D$26*IF('Capacity Heatmap'!Q$5:Q$26&gt;1,0,1-'Capacity Heatmap'!Q$5:Q$26))</f>
        <v>116.25</v>
      </c>
      <c r="R10" s="66" cm="1">
        <f t="array" ref="R10">SUMPRODUCT(('Capacity Heatmap'!$B$5:$B$26=$A10)*'Capacity Heatmap'!$D$5:$D$26*IF('Capacity Heatmap'!R$5:R$26&gt;1,0,1-'Capacity Heatmap'!R$5:R$26))</f>
        <v>116.25</v>
      </c>
      <c r="S10" s="66" cm="1">
        <f t="array" ref="S10">SUMPRODUCT(('Capacity Heatmap'!$B$5:$B$26=$A10)*'Capacity Heatmap'!$D$5:$D$26*IF('Capacity Heatmap'!S$5:S$26&gt;1,0,1-'Capacity Heatmap'!S$5:S$26))</f>
        <v>116.25</v>
      </c>
      <c r="T10" s="66" cm="1">
        <f t="array" ref="T10">SUMPRODUCT(('Capacity Heatmap'!$B$5:$B$26=$A10)*'Capacity Heatmap'!$D$5:$D$26*IF('Capacity Heatmap'!T$5:T$26&gt;1,0,1-'Capacity Heatmap'!T$5:T$26))</f>
        <v>116.25</v>
      </c>
      <c r="U10" s="66" cm="1">
        <f t="array" ref="U10">SUMPRODUCT(('Capacity Heatmap'!$B$5:$B$26=$A10)*'Capacity Heatmap'!$D$5:$D$26*IF('Capacity Heatmap'!U$5:U$26&gt;1,0,1-'Capacity Heatmap'!U$5:U$26))</f>
        <v>126</v>
      </c>
      <c r="V10" s="66" cm="1">
        <f t="array" ref="V10">SUMPRODUCT(('Capacity Heatmap'!$B$5:$B$26=$A10)*'Capacity Heatmap'!$D$5:$D$26*IF('Capacity Heatmap'!V$5:V$26&gt;1,0,1-'Capacity Heatmap'!V$5:V$26))</f>
        <v>126</v>
      </c>
      <c r="W10" s="66" cm="1">
        <f t="array" ref="W10">SUMPRODUCT(('Capacity Heatmap'!$B$5:$B$26=$A10)*'Capacity Heatmap'!$D$5:$D$26*IF('Capacity Heatmap'!W$5:W$26&gt;1,0,1-'Capacity Heatmap'!W$5:W$26))</f>
        <v>126</v>
      </c>
      <c r="X10" s="66" cm="1">
        <f t="array" ref="X10">SUMPRODUCT(('Capacity Heatmap'!$B$5:$B$26=$A10)*'Capacity Heatmap'!$D$5:$D$26*IF('Capacity Heatmap'!X$5:X$26&gt;1,0,1-'Capacity Heatmap'!X$5:X$26))</f>
        <v>126</v>
      </c>
      <c r="Y10" s="66" cm="1">
        <f t="array" ref="Y10">SUMPRODUCT(('Capacity Heatmap'!$B$5:$B$26=$A10)*'Capacity Heatmap'!$D$5:$D$26*IF('Capacity Heatmap'!Y$5:Y$26&gt;1,0,1-'Capacity Heatmap'!Y$5:Y$26))</f>
        <v>126</v>
      </c>
      <c r="Z10" s="66" cm="1">
        <f t="array" ref="Z10">SUMPRODUCT(('Capacity Heatmap'!$B$5:$B$26=$A10)*'Capacity Heatmap'!$D$5:$D$26*IF('Capacity Heatmap'!Z$5:Z$26&gt;1,0,1-'Capacity Heatmap'!Z$5:Z$26))</f>
        <v>126</v>
      </c>
      <c r="AA10" s="66" cm="1">
        <f t="array" ref="AA10">SUMPRODUCT(('Capacity Heatmap'!$B$5:$B$26=$A10)*'Capacity Heatmap'!$D$5:$D$26*IF('Capacity Heatmap'!AA$5:AA$26&gt;1,0,1-'Capacity Heatmap'!AA$5:AA$26))</f>
        <v>126</v>
      </c>
      <c r="AB10" s="66" cm="1">
        <f t="array" ref="AB10">SUMPRODUCT(('Capacity Heatmap'!$B$5:$B$26=$A10)*'Capacity Heatmap'!$D$5:$D$26*IF('Capacity Heatmap'!AB$5:AB$26&gt;1,0,1-'Capacity Heatmap'!AB$5:AB$26))</f>
        <v>126</v>
      </c>
      <c r="AC10" s="66" cm="1">
        <f t="array" ref="AC10">SUMPRODUCT(('Capacity Heatmap'!$B$5:$B$26=$A10)*'Capacity Heatmap'!$D$5:$D$26*IF('Capacity Heatmap'!AC$5:AC$26&gt;1,0,1-'Capacity Heatmap'!AC$5:AC$26))</f>
        <v>126</v>
      </c>
      <c r="AD10" s="66" cm="1">
        <f t="array" ref="AD10">SUMPRODUCT(('Capacity Heatmap'!$B$5:$B$26=$A10)*'Capacity Heatmap'!$D$5:$D$26*IF('Capacity Heatmap'!AD$5:AD$26&gt;1,0,1-'Capacity Heatmap'!AD$5:AD$26))</f>
        <v>126</v>
      </c>
      <c r="AE10" s="66" cm="1">
        <f t="array" ref="AE10">SUMPRODUCT(('Capacity Heatmap'!$B$5:$B$26=$A10)*'Capacity Heatmap'!$D$5:$D$26*IF('Capacity Heatmap'!AE$5:AE$26&gt;1,0,1-'Capacity Heatmap'!AE$5:AE$26))</f>
        <v>126</v>
      </c>
      <c r="AF10" s="66" cm="1">
        <f t="array" ref="AF10">SUMPRODUCT(('Capacity Heatmap'!$B$5:$B$26=$A10)*'Capacity Heatmap'!$D$5:$D$26*IF('Capacity Heatmap'!AF$5:AF$26&gt;1,0,1-'Capacity Heatmap'!AF$5:AF$26))</f>
        <v>126</v>
      </c>
    </row>
    <row r="11" spans="1:32">
      <c r="A11" s="71" t="s">
        <v>77</v>
      </c>
      <c r="B11" s="64">
        <f>COUNTIF('Capacity Heatmap'!$B$5:$B$26,$A11)</f>
        <v>1</v>
      </c>
      <c r="C11" s="64">
        <f>SUMIF('Capacity Heatmap'!$B$5:$B$26,$A11,'Capacity Heatmap'!$D$5:$D$26)</f>
        <v>6.9999999999999982</v>
      </c>
      <c r="D11" s="65">
        <f>IFERROR(AVERAGEIF('Team Roster'!$B$4:$B$25,$A11,'Team Roster'!$H$4:$H$25),0)</f>
        <v>0.8</v>
      </c>
      <c r="E11" s="66" cm="1">
        <f t="array" ref="E11">SUMPRODUCT(('Capacity Heatmap'!$B$5:$B$26=$A11)*'Capacity Heatmap'!$D$5:$D$26*IF('Capacity Heatmap'!E$5:E$26&gt;1,0,1-'Capacity Heatmap'!E$5:E$26))</f>
        <v>6.9999999999999982</v>
      </c>
      <c r="F11" s="66" cm="1">
        <f t="array" ref="F11">SUMPRODUCT(('Capacity Heatmap'!$B$5:$B$26=$A11)*'Capacity Heatmap'!$D$5:$D$26*IF('Capacity Heatmap'!F$5:F$26&gt;1,0,1-'Capacity Heatmap'!F$5:F$26))</f>
        <v>6.9999999999999982</v>
      </c>
      <c r="G11" s="66" cm="1">
        <f t="array" ref="G11">SUMPRODUCT(('Capacity Heatmap'!$B$5:$B$26=$A11)*'Capacity Heatmap'!$D$5:$D$26*IF('Capacity Heatmap'!G$5:G$26&gt;1,0,1-'Capacity Heatmap'!G$5:G$26))</f>
        <v>6.9999999999999982</v>
      </c>
      <c r="H11" s="66" cm="1">
        <f t="array" ref="H11">SUMPRODUCT(('Capacity Heatmap'!$B$5:$B$26=$A11)*'Capacity Heatmap'!$D$5:$D$26*IF('Capacity Heatmap'!H$5:H$26&gt;1,0,1-'Capacity Heatmap'!H$5:H$26))</f>
        <v>6.9999999999999982</v>
      </c>
      <c r="I11" s="66" cm="1">
        <f t="array" ref="I11">SUMPRODUCT(('Capacity Heatmap'!$B$5:$B$26=$A11)*'Capacity Heatmap'!$D$5:$D$26*IF('Capacity Heatmap'!I$5:I$26&gt;1,0,1-'Capacity Heatmap'!I$5:I$26))</f>
        <v>6.9999999999999982</v>
      </c>
      <c r="J11" s="66" cm="1">
        <f t="array" ref="J11">SUMPRODUCT(('Capacity Heatmap'!$B$5:$B$26=$A11)*'Capacity Heatmap'!$D$5:$D$26*IF('Capacity Heatmap'!J$5:J$26&gt;1,0,1-'Capacity Heatmap'!J$5:J$26))</f>
        <v>6.9999999999999982</v>
      </c>
      <c r="K11" s="66" cm="1">
        <f t="array" ref="K11">SUMPRODUCT(('Capacity Heatmap'!$B$5:$B$26=$A11)*'Capacity Heatmap'!$D$5:$D$26*IF('Capacity Heatmap'!K$5:K$26&gt;1,0,1-'Capacity Heatmap'!K$5:K$26))</f>
        <v>6.9999999999999982</v>
      </c>
      <c r="L11" s="66" cm="1">
        <f t="array" ref="L11">SUMPRODUCT(('Capacity Heatmap'!$B$5:$B$26=$A11)*'Capacity Heatmap'!$D$5:$D$26*IF('Capacity Heatmap'!L$5:L$26&gt;1,0,1-'Capacity Heatmap'!L$5:L$26))</f>
        <v>6.9999999999999982</v>
      </c>
      <c r="M11" s="66" cm="1">
        <f t="array" ref="M11">SUMPRODUCT(('Capacity Heatmap'!$B$5:$B$26=$A11)*'Capacity Heatmap'!$D$5:$D$26*IF('Capacity Heatmap'!M$5:M$26&gt;1,0,1-'Capacity Heatmap'!M$5:M$26))</f>
        <v>6.9999999999999982</v>
      </c>
      <c r="N11" s="66" cm="1">
        <f t="array" ref="N11">SUMPRODUCT(('Capacity Heatmap'!$B$5:$B$26=$A11)*'Capacity Heatmap'!$D$5:$D$26*IF('Capacity Heatmap'!N$5:N$26&gt;1,0,1-'Capacity Heatmap'!N$5:N$26))</f>
        <v>6.9999999999999982</v>
      </c>
      <c r="O11" s="66" cm="1">
        <f t="array" ref="O11">SUMPRODUCT(('Capacity Heatmap'!$B$5:$B$26=$A11)*'Capacity Heatmap'!$D$5:$D$26*IF('Capacity Heatmap'!O$5:O$26&gt;1,0,1-'Capacity Heatmap'!O$5:O$26))</f>
        <v>6.9999999999999982</v>
      </c>
      <c r="P11" s="66" cm="1">
        <f t="array" ref="P11">SUMPRODUCT(('Capacity Heatmap'!$B$5:$B$26=$A11)*'Capacity Heatmap'!$D$5:$D$26*IF('Capacity Heatmap'!P$5:P$26&gt;1,0,1-'Capacity Heatmap'!P$5:P$26))</f>
        <v>6.9999999999999982</v>
      </c>
      <c r="Q11" s="66" cm="1">
        <f t="array" ref="Q11">SUMPRODUCT(('Capacity Heatmap'!$B$5:$B$26=$A11)*'Capacity Heatmap'!$D$5:$D$26*IF('Capacity Heatmap'!Q$5:Q$26&gt;1,0,1-'Capacity Heatmap'!Q$5:Q$26))</f>
        <v>6.9999999999999982</v>
      </c>
      <c r="R11" s="66" cm="1">
        <f t="array" ref="R11">SUMPRODUCT(('Capacity Heatmap'!$B$5:$B$26=$A11)*'Capacity Heatmap'!$D$5:$D$26*IF('Capacity Heatmap'!R$5:R$26&gt;1,0,1-'Capacity Heatmap'!R$5:R$26))</f>
        <v>6.9999999999999982</v>
      </c>
      <c r="S11" s="66" cm="1">
        <f t="array" ref="S11">SUMPRODUCT(('Capacity Heatmap'!$B$5:$B$26=$A11)*'Capacity Heatmap'!$D$5:$D$26*IF('Capacity Heatmap'!S$5:S$26&gt;1,0,1-'Capacity Heatmap'!S$5:S$26))</f>
        <v>6.9999999999999982</v>
      </c>
      <c r="T11" s="66" cm="1">
        <f t="array" ref="T11">SUMPRODUCT(('Capacity Heatmap'!$B$5:$B$26=$A11)*'Capacity Heatmap'!$D$5:$D$26*IF('Capacity Heatmap'!T$5:T$26&gt;1,0,1-'Capacity Heatmap'!T$5:T$26))</f>
        <v>6.9999999999999982</v>
      </c>
      <c r="U11" s="66" cm="1">
        <f t="array" ref="U11">SUMPRODUCT(('Capacity Heatmap'!$B$5:$B$26=$A11)*'Capacity Heatmap'!$D$5:$D$26*IF('Capacity Heatmap'!U$5:U$26&gt;1,0,1-'Capacity Heatmap'!U$5:U$26))</f>
        <v>6.9999999999999982</v>
      </c>
      <c r="V11" s="66" cm="1">
        <f t="array" ref="V11">SUMPRODUCT(('Capacity Heatmap'!$B$5:$B$26=$A11)*'Capacity Heatmap'!$D$5:$D$26*IF('Capacity Heatmap'!V$5:V$26&gt;1,0,1-'Capacity Heatmap'!V$5:V$26))</f>
        <v>6.9999999999999982</v>
      </c>
      <c r="W11" s="66" cm="1">
        <f t="array" ref="W11">SUMPRODUCT(('Capacity Heatmap'!$B$5:$B$26=$A11)*'Capacity Heatmap'!$D$5:$D$26*IF('Capacity Heatmap'!W$5:W$26&gt;1,0,1-'Capacity Heatmap'!W$5:W$26))</f>
        <v>6.9999999999999982</v>
      </c>
      <c r="X11" s="66" cm="1">
        <f t="array" ref="X11">SUMPRODUCT(('Capacity Heatmap'!$B$5:$B$26=$A11)*'Capacity Heatmap'!$D$5:$D$26*IF('Capacity Heatmap'!X$5:X$26&gt;1,0,1-'Capacity Heatmap'!X$5:X$26))</f>
        <v>6.9999999999999982</v>
      </c>
      <c r="Y11" s="66" cm="1">
        <f t="array" ref="Y11">SUMPRODUCT(('Capacity Heatmap'!$B$5:$B$26=$A11)*'Capacity Heatmap'!$D$5:$D$26*IF('Capacity Heatmap'!Y$5:Y$26&gt;1,0,1-'Capacity Heatmap'!Y$5:Y$26))</f>
        <v>6.9999999999999982</v>
      </c>
      <c r="Z11" s="66" cm="1">
        <f t="array" ref="Z11">SUMPRODUCT(('Capacity Heatmap'!$B$5:$B$26=$A11)*'Capacity Heatmap'!$D$5:$D$26*IF('Capacity Heatmap'!Z$5:Z$26&gt;1,0,1-'Capacity Heatmap'!Z$5:Z$26))</f>
        <v>6.9999999999999982</v>
      </c>
      <c r="AA11" s="66" cm="1">
        <f t="array" ref="AA11">SUMPRODUCT(('Capacity Heatmap'!$B$5:$B$26=$A11)*'Capacity Heatmap'!$D$5:$D$26*IF('Capacity Heatmap'!AA$5:AA$26&gt;1,0,1-'Capacity Heatmap'!AA$5:AA$26))</f>
        <v>6.9999999999999982</v>
      </c>
      <c r="AB11" s="66" cm="1">
        <f t="array" ref="AB11">SUMPRODUCT(('Capacity Heatmap'!$B$5:$B$26=$A11)*'Capacity Heatmap'!$D$5:$D$26*IF('Capacity Heatmap'!AB$5:AB$26&gt;1,0,1-'Capacity Heatmap'!AB$5:AB$26))</f>
        <v>6.9999999999999982</v>
      </c>
      <c r="AC11" s="66" cm="1">
        <f t="array" ref="AC11">SUMPRODUCT(('Capacity Heatmap'!$B$5:$B$26=$A11)*'Capacity Heatmap'!$D$5:$D$26*IF('Capacity Heatmap'!AC$5:AC$26&gt;1,0,1-'Capacity Heatmap'!AC$5:AC$26))</f>
        <v>6.9999999999999982</v>
      </c>
      <c r="AD11" s="66" cm="1">
        <f t="array" ref="AD11">SUMPRODUCT(('Capacity Heatmap'!$B$5:$B$26=$A11)*'Capacity Heatmap'!$D$5:$D$26*IF('Capacity Heatmap'!AD$5:AD$26&gt;1,0,1-'Capacity Heatmap'!AD$5:AD$26))</f>
        <v>6.9999999999999982</v>
      </c>
      <c r="AE11" s="66" cm="1">
        <f t="array" ref="AE11">SUMPRODUCT(('Capacity Heatmap'!$B$5:$B$26=$A11)*'Capacity Heatmap'!$D$5:$D$26*IF('Capacity Heatmap'!AE$5:AE$26&gt;1,0,1-'Capacity Heatmap'!AE$5:AE$26))</f>
        <v>6.9999999999999982</v>
      </c>
      <c r="AF11" s="66" cm="1">
        <f t="array" ref="AF11">SUMPRODUCT(('Capacity Heatmap'!$B$5:$B$26=$A11)*'Capacity Heatmap'!$D$5:$D$26*IF('Capacity Heatmap'!AF$5:AF$26&gt;1,0,1-'Capacity Heatmap'!AF$5:AF$26))</f>
        <v>6.9999999999999982</v>
      </c>
    </row>
    <row r="12" spans="1:32">
      <c r="A12" s="71" t="s">
        <v>95</v>
      </c>
      <c r="B12" s="64">
        <f>COUNTIF('Capacity Heatmap'!$B$5:$B$26,$A12)</f>
        <v>1</v>
      </c>
      <c r="C12" s="64">
        <f>SUMIF('Capacity Heatmap'!$B$5:$B$26,$A12,'Capacity Heatmap'!$D$5:$D$26)</f>
        <v>14</v>
      </c>
      <c r="D12" s="65">
        <f>IFERROR(AVERAGEIF('Team Roster'!$B$4:$B$25,$A12,'Team Roster'!$H$4:$H$25),0)</f>
        <v>0.6</v>
      </c>
      <c r="E12" s="66" cm="1">
        <f t="array" ref="E12">SUMPRODUCT(('Capacity Heatmap'!$B$5:$B$26=$A12)*'Capacity Heatmap'!$D$5:$D$26*IF('Capacity Heatmap'!E$5:E$26&gt;1,0,1-'Capacity Heatmap'!E$5:E$26))</f>
        <v>14</v>
      </c>
      <c r="F12" s="66" cm="1">
        <f t="array" ref="F12">SUMPRODUCT(('Capacity Heatmap'!$B$5:$B$26=$A12)*'Capacity Heatmap'!$D$5:$D$26*IF('Capacity Heatmap'!F$5:F$26&gt;1,0,1-'Capacity Heatmap'!F$5:F$26))</f>
        <v>14</v>
      </c>
      <c r="G12" s="66" cm="1">
        <f t="array" ref="G12">SUMPRODUCT(('Capacity Heatmap'!$B$5:$B$26=$A12)*'Capacity Heatmap'!$D$5:$D$26*IF('Capacity Heatmap'!G$5:G$26&gt;1,0,1-'Capacity Heatmap'!G$5:G$26))</f>
        <v>14</v>
      </c>
      <c r="H12" s="66" cm="1">
        <f t="array" ref="H12">SUMPRODUCT(('Capacity Heatmap'!$B$5:$B$26=$A12)*'Capacity Heatmap'!$D$5:$D$26*IF('Capacity Heatmap'!H$5:H$26&gt;1,0,1-'Capacity Heatmap'!H$5:H$26))</f>
        <v>14</v>
      </c>
      <c r="I12" s="66" cm="1">
        <f t="array" ref="I12">SUMPRODUCT(('Capacity Heatmap'!$B$5:$B$26=$A12)*'Capacity Heatmap'!$D$5:$D$26*IF('Capacity Heatmap'!I$5:I$26&gt;1,0,1-'Capacity Heatmap'!I$5:I$26))</f>
        <v>14</v>
      </c>
      <c r="J12" s="66" cm="1">
        <f t="array" ref="J12">SUMPRODUCT(('Capacity Heatmap'!$B$5:$B$26=$A12)*'Capacity Heatmap'!$D$5:$D$26*IF('Capacity Heatmap'!J$5:J$26&gt;1,0,1-'Capacity Heatmap'!J$5:J$26))</f>
        <v>14</v>
      </c>
      <c r="K12" s="66" cm="1">
        <f t="array" ref="K12">SUMPRODUCT(('Capacity Heatmap'!$B$5:$B$26=$A12)*'Capacity Heatmap'!$D$5:$D$26*IF('Capacity Heatmap'!K$5:K$26&gt;1,0,1-'Capacity Heatmap'!K$5:K$26))</f>
        <v>14</v>
      </c>
      <c r="L12" s="66" cm="1">
        <f t="array" ref="L12">SUMPRODUCT(('Capacity Heatmap'!$B$5:$B$26=$A12)*'Capacity Heatmap'!$D$5:$D$26*IF('Capacity Heatmap'!L$5:L$26&gt;1,0,1-'Capacity Heatmap'!L$5:L$26))</f>
        <v>14</v>
      </c>
      <c r="M12" s="66" cm="1">
        <f t="array" ref="M12">SUMPRODUCT(('Capacity Heatmap'!$B$5:$B$26=$A12)*'Capacity Heatmap'!$D$5:$D$26*IF('Capacity Heatmap'!M$5:M$26&gt;1,0,1-'Capacity Heatmap'!M$5:M$26))</f>
        <v>14</v>
      </c>
      <c r="N12" s="66" cm="1">
        <f t="array" ref="N12">SUMPRODUCT(('Capacity Heatmap'!$B$5:$B$26=$A12)*'Capacity Heatmap'!$D$5:$D$26*IF('Capacity Heatmap'!N$5:N$26&gt;1,0,1-'Capacity Heatmap'!N$5:N$26))</f>
        <v>14</v>
      </c>
      <c r="O12" s="66" cm="1">
        <f t="array" ref="O12">SUMPRODUCT(('Capacity Heatmap'!$B$5:$B$26=$A12)*'Capacity Heatmap'!$D$5:$D$26*IF('Capacity Heatmap'!O$5:O$26&gt;1,0,1-'Capacity Heatmap'!O$5:O$26))</f>
        <v>14</v>
      </c>
      <c r="P12" s="66" cm="1">
        <f t="array" ref="P12">SUMPRODUCT(('Capacity Heatmap'!$B$5:$B$26=$A12)*'Capacity Heatmap'!$D$5:$D$26*IF('Capacity Heatmap'!P$5:P$26&gt;1,0,1-'Capacity Heatmap'!P$5:P$26))</f>
        <v>14</v>
      </c>
      <c r="Q12" s="66" cm="1">
        <f t="array" ref="Q12">SUMPRODUCT(('Capacity Heatmap'!$B$5:$B$26=$A12)*'Capacity Heatmap'!$D$5:$D$26*IF('Capacity Heatmap'!Q$5:Q$26&gt;1,0,1-'Capacity Heatmap'!Q$5:Q$26))</f>
        <v>14</v>
      </c>
      <c r="R12" s="66" cm="1">
        <f t="array" ref="R12">SUMPRODUCT(('Capacity Heatmap'!$B$5:$B$26=$A12)*'Capacity Heatmap'!$D$5:$D$26*IF('Capacity Heatmap'!R$5:R$26&gt;1,0,1-'Capacity Heatmap'!R$5:R$26))</f>
        <v>14</v>
      </c>
      <c r="S12" s="66" cm="1">
        <f t="array" ref="S12">SUMPRODUCT(('Capacity Heatmap'!$B$5:$B$26=$A12)*'Capacity Heatmap'!$D$5:$D$26*IF('Capacity Heatmap'!S$5:S$26&gt;1,0,1-'Capacity Heatmap'!S$5:S$26))</f>
        <v>14</v>
      </c>
      <c r="T12" s="66" cm="1">
        <f t="array" ref="T12">SUMPRODUCT(('Capacity Heatmap'!$B$5:$B$26=$A12)*'Capacity Heatmap'!$D$5:$D$26*IF('Capacity Heatmap'!T$5:T$26&gt;1,0,1-'Capacity Heatmap'!T$5:T$26))</f>
        <v>14</v>
      </c>
      <c r="U12" s="66" cm="1">
        <f t="array" ref="U12">SUMPRODUCT(('Capacity Heatmap'!$B$5:$B$26=$A12)*'Capacity Heatmap'!$D$5:$D$26*IF('Capacity Heatmap'!U$5:U$26&gt;1,0,1-'Capacity Heatmap'!U$5:U$26))</f>
        <v>14</v>
      </c>
      <c r="V12" s="66" cm="1">
        <f t="array" ref="V12">SUMPRODUCT(('Capacity Heatmap'!$B$5:$B$26=$A12)*'Capacity Heatmap'!$D$5:$D$26*IF('Capacity Heatmap'!V$5:V$26&gt;1,0,1-'Capacity Heatmap'!V$5:V$26))</f>
        <v>14</v>
      </c>
      <c r="W12" s="66" cm="1">
        <f t="array" ref="W12">SUMPRODUCT(('Capacity Heatmap'!$B$5:$B$26=$A12)*'Capacity Heatmap'!$D$5:$D$26*IF('Capacity Heatmap'!W$5:W$26&gt;1,0,1-'Capacity Heatmap'!W$5:W$26))</f>
        <v>14</v>
      </c>
      <c r="X12" s="66" cm="1">
        <f t="array" ref="X12">SUMPRODUCT(('Capacity Heatmap'!$B$5:$B$26=$A12)*'Capacity Heatmap'!$D$5:$D$26*IF('Capacity Heatmap'!X$5:X$26&gt;1,0,1-'Capacity Heatmap'!X$5:X$26))</f>
        <v>14</v>
      </c>
      <c r="Y12" s="66" cm="1">
        <f t="array" ref="Y12">SUMPRODUCT(('Capacity Heatmap'!$B$5:$B$26=$A12)*'Capacity Heatmap'!$D$5:$D$26*IF('Capacity Heatmap'!Y$5:Y$26&gt;1,0,1-'Capacity Heatmap'!Y$5:Y$26))</f>
        <v>14</v>
      </c>
      <c r="Z12" s="66" cm="1">
        <f t="array" ref="Z12">SUMPRODUCT(('Capacity Heatmap'!$B$5:$B$26=$A12)*'Capacity Heatmap'!$D$5:$D$26*IF('Capacity Heatmap'!Z$5:Z$26&gt;1,0,1-'Capacity Heatmap'!Z$5:Z$26))</f>
        <v>14</v>
      </c>
      <c r="AA12" s="66" cm="1">
        <f t="array" ref="AA12">SUMPRODUCT(('Capacity Heatmap'!$B$5:$B$26=$A12)*'Capacity Heatmap'!$D$5:$D$26*IF('Capacity Heatmap'!AA$5:AA$26&gt;1,0,1-'Capacity Heatmap'!AA$5:AA$26))</f>
        <v>14</v>
      </c>
      <c r="AB12" s="66" cm="1">
        <f t="array" ref="AB12">SUMPRODUCT(('Capacity Heatmap'!$B$5:$B$26=$A12)*'Capacity Heatmap'!$D$5:$D$26*IF('Capacity Heatmap'!AB$5:AB$26&gt;1,0,1-'Capacity Heatmap'!AB$5:AB$26))</f>
        <v>14</v>
      </c>
      <c r="AC12" s="66" cm="1">
        <f t="array" ref="AC12">SUMPRODUCT(('Capacity Heatmap'!$B$5:$B$26=$A12)*'Capacity Heatmap'!$D$5:$D$26*IF('Capacity Heatmap'!AC$5:AC$26&gt;1,0,1-'Capacity Heatmap'!AC$5:AC$26))</f>
        <v>14</v>
      </c>
      <c r="AD12" s="66" cm="1">
        <f t="array" ref="AD12">SUMPRODUCT(('Capacity Heatmap'!$B$5:$B$26=$A12)*'Capacity Heatmap'!$D$5:$D$26*IF('Capacity Heatmap'!AD$5:AD$26&gt;1,0,1-'Capacity Heatmap'!AD$5:AD$26))</f>
        <v>14</v>
      </c>
      <c r="AE12" s="66" cm="1">
        <f t="array" ref="AE12">SUMPRODUCT(('Capacity Heatmap'!$B$5:$B$26=$A12)*'Capacity Heatmap'!$D$5:$D$26*IF('Capacity Heatmap'!AE$5:AE$26&gt;1,0,1-'Capacity Heatmap'!AE$5:AE$26))</f>
        <v>14</v>
      </c>
      <c r="AF12" s="66" cm="1">
        <f t="array" ref="AF12">SUMPRODUCT(('Capacity Heatmap'!$B$5:$B$26=$A12)*'Capacity Heatmap'!$D$5:$D$26*IF('Capacity Heatmap'!AF$5:AF$26&gt;1,0,1-'Capacity Heatmap'!AF$5:AF$26))</f>
        <v>14</v>
      </c>
    </row>
    <row r="13" spans="1:3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>
      <c r="A14" s="58" t="s">
        <v>384</v>
      </c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>
      <c r="A15" s="60" t="s">
        <v>250</v>
      </c>
      <c r="B15" s="60" t="s">
        <v>103</v>
      </c>
      <c r="C15" s="60" t="s">
        <v>108</v>
      </c>
      <c r="D15" s="60" t="s">
        <v>115</v>
      </c>
      <c r="E15" s="72" t="s">
        <v>385</v>
      </c>
      <c r="F15" s="72" t="s">
        <v>386</v>
      </c>
      <c r="G15" s="72" t="s">
        <v>387</v>
      </c>
      <c r="H15" s="72" t="s">
        <v>388</v>
      </c>
      <c r="I15" s="72" t="s">
        <v>389</v>
      </c>
      <c r="J15" s="72" t="s">
        <v>390</v>
      </c>
      <c r="K15" s="72" t="s">
        <v>391</v>
      </c>
      <c r="L15" s="73" t="s">
        <v>392</v>
      </c>
      <c r="M15" s="73" t="s">
        <v>393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>
      <c r="A16" s="74" t="str" cm="1">
        <f t="array" ref="A16:A23">IFERROR(_xlfn._xlws.FILTER('Project Portfolio'!A$4:A$42,('Project Portfolio'!A$4:A$42&lt;&gt;"")*('Project Portfolio'!F$4:F$42&lt;&gt;"✅ COMPLETE")*('Project Portfolio'!F$4:F$42&lt;&gt;"⏸️ POSTPONED")*('Project Portfolio'!F$4:F$42&lt;&gt;"🟢 ON TRACK")*('Project Portfolio'!F$4:F$42&lt;&gt;"🔵 ON HOLD")*('Project Portfolio'!I$4:I$42=0)),"")</f>
        <v>ETE-49</v>
      </c>
      <c r="B16" s="74" t="str">
        <f>IF(A16="","",INDEX('Project Portfolio'!B$4:B$42,MATCH(A16,'Project Portfolio'!A$4:A$42,0)))</f>
        <v>Marketing: STE Rewards Tier</v>
      </c>
      <c r="C16" s="74" t="str">
        <f>IF(A16="","",INDEX('Project Portfolio'!H$4:H$42,MATCH(A16,'Project Portfolio'!A$4:A$42,0)))</f>
        <v>Medium</v>
      </c>
      <c r="D16" s="75">
        <f>IF(A16="","",INDEX('Project Portfolio'!R$4:R$42,MATCH(A16,'Project Portfolio'!A$4:A$42,0)))</f>
        <v>240</v>
      </c>
      <c r="E16" s="76" t="str">
        <f>IF(A16="","",IF(INDEX('Project Portfolio'!T$4:T$42,MATCH(A16,'Project Portfolio'!A$4:A$42,0))&gt;0,"Yes","No"))</f>
        <v>Yes</v>
      </c>
      <c r="F16" s="76" t="str">
        <f>IF(A16="","",IF(INDEX('Project Portfolio'!U$4:U$42,MATCH(A16,'Project Portfolio'!A$4:A$42,0))&gt;0,"Yes","No"))</f>
        <v>No</v>
      </c>
      <c r="G16" s="76" t="str">
        <f>IF(A16="","",IF(INDEX('Project Portfolio'!V$4:V$42,MATCH(A16,'Project Portfolio'!A$4:A$42,0))&gt;0,"Yes","No"))</f>
        <v>No</v>
      </c>
      <c r="H16" s="76" t="str">
        <f>IF(A16="","",IF(INDEX('Project Portfolio'!W$4:W$42,MATCH(A16,'Project Portfolio'!A$4:A$42,0))&gt;0,"Yes","No"))</f>
        <v>Yes</v>
      </c>
      <c r="I16" s="76" t="str">
        <f>IF(A16="","",IF(INDEX('Project Portfolio'!X$4:X$42,MATCH(A16,'Project Portfolio'!A$4:A$42,0))&gt;0,"Yes","No"))</f>
        <v>No</v>
      </c>
      <c r="J16" s="76" t="str">
        <f>IF(A16="","",IF(INDEX('Project Portfolio'!Y$4:Y$42,MATCH(A16,'Project Portfolio'!A$4:A$42,0))&gt;0,"Yes","No"))</f>
        <v>No</v>
      </c>
      <c r="K16" s="77" cm="1">
        <f t="array" ref="K16">IF(A16="","",IFERROR(_xlfn.LET(_xlpm.r,MATCH(A16,'Project Portfolio'!A$4:A$42,0),INDEX('Project Portfolio'!T$4:T$42,_xlpm.r)*AVERAGEIF('Team Roster'!$B$4:$B$26,"Business Analyst",'Team Roster'!$G$4:$G$26) + INDEX('Project Portfolio'!U$4:U$42,_xlpm.r)*AVERAGEIF('Team Roster'!$B$4:$B$26,"Functional",'Team Roster'!$G$4:$G$26) + INDEX('Project Portfolio'!V$4:V$42,_xlpm.r)*AVERAGEIF('Team Roster'!$B$4:$B$26,"Technical",'Team Roster'!$G$4:$G$26) + INDEX('Project Portfolio'!W$4:W$42,_xlpm.r)*AVERAGEIF('Team Roster'!$B$4:$B$26,"Developer",'Team Roster'!$G$4:$G$26) + INDEX('Project Portfolio'!X$4:X$42,_xlpm.r)*AVERAGEIF('Team Roster'!$B$4:$B$26,"Infrastructure",'Team Roster'!$G$4:$G$26) + INDEX('Project Portfolio'!Y$4:Y$42,_xlpm.r)*AVERAGEIF('Team Roster'!$B$4:$B$26,"DBA",'Team Roster'!$G$4:$G$26) + INDEX('Project Portfolio'!Z$4:Z$42,_xlpm.r)*AVERAGEIF('Team Roster'!$B$4:$B$26,"Project Manager",'Team Roster'!$G$4:$G$26) + INDEX('Project Portfolio'!AA$4:AA$42,_xlpm.r)*AVERAGEIF('Team Roster'!$B$4:$B$26,"WMS Consultant",'Team Roster'!$G$4:$G$26)),""))</f>
        <v>22.375</v>
      </c>
      <c r="L16" s="78" cm="1">
        <f t="array" aca="1" ref="L16" ca="1">IF(OR(A16="",E16="",F16="",G16="",H16="",I16="",J16=""),"",IF(OR(E16="Yes",F16="Yes",G16="Yes",H16="Yes",I16="Yes",J16="Yes"),IFERROR(_xlfn.LET(_xlpm.weekStart,INDEX($E$4:$AF$4,MATCH(1,($E$4:$AF$4&gt;=($B$2-WEEKDAY($B$2,3)))*IF((E16="Yes")*(E$5:AF$5&lt;$K16),0,1)*IF((F16="Yes")*(E$7:AF$7&lt;$K16),0,1)*IF((G16="Yes")*(E$10:AF$10&lt;$K16),0,1)*IF((H16="Yes")*(E$6:AF$6&lt;$K16),0,1)*IF((I16="Yes")*(E$8:AF$8&lt;$K16),0,1)*IF((J16="Yes")*(E$11:AF$11&lt;$K16),0,1),0)),MAX(_xlpm.weekStart,$B$2)),""),""))</f>
        <v>46109</v>
      </c>
      <c r="M16" s="79">
        <f ca="1">IF(OR(L16="",K16="",K16=0),"",_xlfn.LET(_xlpm.start,L16,_xlpm.weekMon,_xlpm.start-WEEKDAY(_xlpm.start,3),_xlpm.daysLeft,7-WEEKDAY(_xlpm.start,3),_xlpm.partialPct,MIN(_xlpm.daysLeft/5,1),_xlpm.firstWkHrs,K16*_xlpm.partialPct,_xlpm.remainHrs,MAX(D16-_xlpm.firstWkHrs,0),_xlpm.fullWks,CEILING(_xlpm.remainHrs/K16,1),_xlpm.start+_xlpm.daysLeft+_xlpm.fullWks*7))</f>
        <v>46188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>
      <c r="A17" s="74" t="str">
        <v>ETE-7</v>
      </c>
      <c r="B17" s="74" t="str">
        <f>IF(A17="","",INDEX('Project Portfolio'!B$4:B$42,MATCH(A17,'Project Portfolio'!A$4:A$42,0)))</f>
        <v>Outsourced Unit Core Accounting</v>
      </c>
      <c r="C17" s="74" t="str">
        <f>IF(A17="","",INDEX('Project Portfolio'!H$4:H$42,MATCH(A17,'Project Portfolio'!A$4:A$42,0)))</f>
        <v>Medium</v>
      </c>
      <c r="D17" s="75">
        <f>IF(A17="","",INDEX('Project Portfolio'!R$4:R$42,MATCH(A17,'Project Portfolio'!A$4:A$42,0)))</f>
        <v>640</v>
      </c>
      <c r="E17" s="76" t="str">
        <f>IF(A17="","",IF(INDEX('Project Portfolio'!T$4:T$42,MATCH(A17,'Project Portfolio'!A$4:A$42,0))&gt;0,"Yes","No"))</f>
        <v>Yes</v>
      </c>
      <c r="F17" s="76" t="str">
        <f>IF(A17="","",IF(INDEX('Project Portfolio'!U$4:U$42,MATCH(A17,'Project Portfolio'!A$4:A$42,0))&gt;0,"Yes","No"))</f>
        <v>Yes</v>
      </c>
      <c r="G17" s="76" t="str">
        <f>IF(A17="","",IF(INDEX('Project Portfolio'!V$4:V$42,MATCH(A17,'Project Portfolio'!A$4:A$42,0))&gt;0,"Yes","No"))</f>
        <v>Yes</v>
      </c>
      <c r="H17" s="76" t="str">
        <f>IF(A17="","",IF(INDEX('Project Portfolio'!W$4:W$42,MATCH(A17,'Project Portfolio'!A$4:A$42,0))&gt;0,"Yes","No"))</f>
        <v>No</v>
      </c>
      <c r="I17" s="76" t="str">
        <f>IF(A17="","",IF(INDEX('Project Portfolio'!X$4:X$42,MATCH(A17,'Project Portfolio'!A$4:A$42,0))&gt;0,"Yes","No"))</f>
        <v>No</v>
      </c>
      <c r="J17" s="76" t="str">
        <f>IF(A17="","",IF(INDEX('Project Portfolio'!Y$4:Y$42,MATCH(A17,'Project Portfolio'!A$4:A$42,0))&gt;0,"Yes","No"))</f>
        <v>No</v>
      </c>
      <c r="K17" s="77" cm="1">
        <f t="array" ref="K17">IF(A17="","",IFERROR(_xlfn.LET(_xlpm.r,MATCH(A17,'Project Portfolio'!A$4:A$42,0),INDEX('Project Portfolio'!T$4:T$42,_xlpm.r)*AVERAGEIF('Team Roster'!$B$4:$B$26,"Business Analyst",'Team Roster'!$G$4:$G$26) + INDEX('Project Portfolio'!U$4:U$42,_xlpm.r)*AVERAGEIF('Team Roster'!$B$4:$B$26,"Functional",'Team Roster'!$G$4:$G$26) + INDEX('Project Portfolio'!V$4:V$42,_xlpm.r)*AVERAGEIF('Team Roster'!$B$4:$B$26,"Technical",'Team Roster'!$G$4:$G$26) + INDEX('Project Portfolio'!W$4:W$42,_xlpm.r)*AVERAGEIF('Team Roster'!$B$4:$B$26,"Developer",'Team Roster'!$G$4:$G$26) + INDEX('Project Portfolio'!X$4:X$42,_xlpm.r)*AVERAGEIF('Team Roster'!$B$4:$B$26,"Infrastructure",'Team Roster'!$G$4:$G$26) + INDEX('Project Portfolio'!Y$4:Y$42,_xlpm.r)*AVERAGEIF('Team Roster'!$B$4:$B$26,"DBA",'Team Roster'!$G$4:$G$26) + INDEX('Project Portfolio'!Z$4:Z$42,_xlpm.r)*AVERAGEIF('Team Roster'!$B$4:$B$26,"Project Manager",'Team Roster'!$G$4:$G$26) + INDEX('Project Portfolio'!AA$4:AA$42,_xlpm.r)*AVERAGEIF('Team Roster'!$B$4:$B$26,"WMS Consultant",'Team Roster'!$G$4:$G$26)),""))</f>
        <v>35.125</v>
      </c>
      <c r="L17" s="78" cm="1">
        <f t="array" aca="1" ref="L17" ca="1">IF(OR(A17="",E17="",F17="",G17="",H17="",I17="",J17=""),"",IF(OR(E17="Yes",F17="Yes",G17="Yes",H17="Yes",I17="Yes",J17="Yes"),IFERROR(_xlfn.LET(_xlpm.weekStart,INDEX($E$4:$AF$4,MATCH(1,($E$4:$AF$4&gt;=($B$2-WEEKDAY($B$2,3)))*IF((E17="Yes")*(E$5:AF$5&lt;$K17),0,1)*IF((F17="Yes")*(E$7:AF$7&lt;$K17),0,1)*IF((G17="Yes")*(E$10:AF$10&lt;$K17),0,1)*IF((H17="Yes")*(E$6:AF$6&lt;$K17),0,1)*IF((I17="Yes")*(E$8:AF$8&lt;$K17),0,1)*IF((J17="Yes")*(E$11:AF$11&lt;$K17),0,1),0)),MAX(_xlpm.weekStart,$B$2)),""),""))</f>
        <v>46109</v>
      </c>
      <c r="M17" s="79">
        <f t="shared" ref="M17" ca="1" si="1">IF(OR(L17="",K17="",K17=0),"",_xlfn.LET(_xlpm.start,L17,_xlpm.weekMon,_xlpm.start-WEEKDAY(_xlpm.start,3),_xlpm.daysLeft,7-WEEKDAY(_xlpm.start,3),_xlpm.partialPct,MIN(_xlpm.daysLeft/5,1),_xlpm.firstWkHrs,K17*_xlpm.partialPct,_xlpm.remainHrs,MAX(D17-_xlpm.firstWkHrs,0),_xlpm.fullWks,CEILING(_xlpm.remainHrs/K17,1),_xlpm.start+_xlpm.daysLeft+_xlpm.fullWks*7))</f>
        <v>46237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>
      <c r="A18" s="74" t="str">
        <v>ETE-52</v>
      </c>
      <c r="B18" s="74" t="str">
        <f>IF(A18="","",INDEX('Project Portfolio'!B$4:B$42,MATCH(A18,'Project Portfolio'!A$4:A$42,0)))</f>
        <v>SWIMS/Syteline Reporting</v>
      </c>
      <c r="C18" s="74" t="str">
        <f>IF(A18="","",INDEX('Project Portfolio'!H$4:H$42,MATCH(A18,'Project Portfolio'!A$4:A$42,0)))</f>
        <v>Medium</v>
      </c>
      <c r="D18" s="75">
        <f>IF(A18="","",INDEX('Project Portfolio'!R$4:R$42,MATCH(A18,'Project Portfolio'!A$4:A$42,0)))</f>
        <v>40</v>
      </c>
      <c r="E18" s="76" t="str">
        <f>IF(A18="","",IF(INDEX('Project Portfolio'!T$4:T$42,MATCH(A18,'Project Portfolio'!A$4:A$42,0))&gt;0,"Yes","No"))</f>
        <v>Yes</v>
      </c>
      <c r="F18" s="76" t="str">
        <f>IF(A18="","",IF(INDEX('Project Portfolio'!U$4:U$42,MATCH(A18,'Project Portfolio'!A$4:A$42,0))&gt;0,"Yes","No"))</f>
        <v>No</v>
      </c>
      <c r="G18" s="76" t="str">
        <f>IF(A18="","",IF(INDEX('Project Portfolio'!V$4:V$42,MATCH(A18,'Project Portfolio'!A$4:A$42,0))&gt;0,"Yes","No"))</f>
        <v>No</v>
      </c>
      <c r="H18" s="76" t="str">
        <f>IF(A18="","",IF(INDEX('Project Portfolio'!W$4:W$42,MATCH(A18,'Project Portfolio'!A$4:A$42,0))&gt;0,"Yes","No"))</f>
        <v>Yes</v>
      </c>
      <c r="I18" s="76" t="str">
        <f>IF(A18="","",IF(INDEX('Project Portfolio'!X$4:X$42,MATCH(A18,'Project Portfolio'!A$4:A$42,0))&gt;0,"Yes","No"))</f>
        <v>No</v>
      </c>
      <c r="J18" s="76" t="str">
        <f>IF(A18="","",IF(INDEX('Project Portfolio'!Y$4:Y$42,MATCH(A18,'Project Portfolio'!A$4:A$42,0))&gt;0,"Yes","No"))</f>
        <v>No</v>
      </c>
      <c r="K18" s="77" cm="1">
        <f t="array" ref="K18">IF(A18="","",IFERROR(_xlfn.LET(_xlpm.r,MATCH(A18,'Project Portfolio'!A$4:A$42,0),INDEX('Project Portfolio'!T$4:T$42,_xlpm.r)*AVERAGEIF('Team Roster'!$B$4:$B$26,"Business Analyst",'Team Roster'!$G$4:$G$26) + INDEX('Project Portfolio'!U$4:U$42,_xlpm.r)*AVERAGEIF('Team Roster'!$B$4:$B$26,"Functional",'Team Roster'!$G$4:$G$26) + INDEX('Project Portfolio'!V$4:V$42,_xlpm.r)*AVERAGEIF('Team Roster'!$B$4:$B$26,"Technical",'Team Roster'!$G$4:$G$26) + INDEX('Project Portfolio'!W$4:W$42,_xlpm.r)*AVERAGEIF('Team Roster'!$B$4:$B$26,"Developer",'Team Roster'!$G$4:$G$26) + INDEX('Project Portfolio'!X$4:X$42,_xlpm.r)*AVERAGEIF('Team Roster'!$B$4:$B$26,"Infrastructure",'Team Roster'!$G$4:$G$26) + INDEX('Project Portfolio'!Y$4:Y$42,_xlpm.r)*AVERAGEIF('Team Roster'!$B$4:$B$26,"DBA",'Team Roster'!$G$4:$G$26) + INDEX('Project Portfolio'!Z$4:Z$42,_xlpm.r)*AVERAGEIF('Team Roster'!$B$4:$B$26,"Project Manager",'Team Roster'!$G$4:$G$26) + INDEX('Project Portfolio'!AA$4:AA$42,_xlpm.r)*AVERAGEIF('Team Roster'!$B$4:$B$26,"WMS Consultant",'Team Roster'!$G$4:$G$26)),""))</f>
        <v>22.375</v>
      </c>
      <c r="L18" s="78" cm="1">
        <f t="array" aca="1" ref="L18" ca="1">IF(OR(A18="",E18="",F18="",G18="",H18="",I18="",J18=""),"",IF(OR(E18="Yes",F18="Yes",G18="Yes",H18="Yes",I18="Yes",J18="Yes"),IFERROR(_xlfn.LET(_xlpm.weekStart,INDEX($E$4:$AF$4,MATCH(1,($E$4:$AF$4&gt;=($B$2-WEEKDAY($B$2,3)))*IF((E18="Yes")*(E$5:AF$5&lt;$K18),0,1)*IF((F18="Yes")*(E$7:AF$7&lt;$K18),0,1)*IF((G18="Yes")*(E$10:AF$10&lt;$K18),0,1)*IF((H18="Yes")*(E$6:AF$6&lt;$K18),0,1)*IF((I18="Yes")*(E$8:AF$8&lt;$K18),0,1)*IF((J18="Yes")*(E$11:AF$11&lt;$K18),0,1),0)),MAX(_xlpm.weekStart,$B$2)),""),""))</f>
        <v>46109</v>
      </c>
      <c r="M18" s="79">
        <f t="shared" ref="M18" ca="1" si="2">IF(OR(L18="",K18="",K18=0),"",_xlfn.LET(_xlpm.start,L18,_xlpm.weekMon,_xlpm.start-WEEKDAY(_xlpm.start,3),_xlpm.daysLeft,7-WEEKDAY(_xlpm.start,3),_xlpm.partialPct,MIN(_xlpm.daysLeft/5,1),_xlpm.firstWkHrs,K18*_xlpm.partialPct,_xlpm.remainHrs,MAX(D18-_xlpm.firstWkHrs,0),_xlpm.fullWks,CEILING(_xlpm.remainHrs/K18,1),_xlpm.start+_xlpm.daysLeft+_xlpm.fullWks*7))</f>
        <v>46125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>
      <c r="A19" s="74" t="str">
        <v>ETE-16</v>
      </c>
      <c r="B19" s="74" t="str">
        <f>IF(A19="","",INDEX('Project Portfolio'!B$4:B$42,MATCH(A19,'Project Portfolio'!A$4:A$42,0)))</f>
        <v>Partial Pay w/ CC from WMERP</v>
      </c>
      <c r="C19" s="74" t="str">
        <f>IF(A19="","",INDEX('Project Portfolio'!H$4:H$42,MATCH(A19,'Project Portfolio'!A$4:A$42,0)))</f>
        <v>Medium</v>
      </c>
      <c r="D19" s="75">
        <f>IF(A19="","",INDEX('Project Portfolio'!R$4:R$42,MATCH(A19,'Project Portfolio'!A$4:A$42,0)))</f>
        <v>120</v>
      </c>
      <c r="E19" s="76" t="str">
        <f>IF(A19="","",IF(INDEX('Project Portfolio'!T$4:T$42,MATCH(A19,'Project Portfolio'!A$4:A$42,0))&gt;0,"Yes","No"))</f>
        <v>Yes</v>
      </c>
      <c r="F19" s="76" t="str">
        <f>IF(A19="","",IF(INDEX('Project Portfolio'!U$4:U$42,MATCH(A19,'Project Portfolio'!A$4:A$42,0))&gt;0,"Yes","No"))</f>
        <v>Yes</v>
      </c>
      <c r="G19" s="76" t="str">
        <f>IF(A19="","",IF(INDEX('Project Portfolio'!V$4:V$42,MATCH(A19,'Project Portfolio'!A$4:A$42,0))&gt;0,"Yes","No"))</f>
        <v>Yes</v>
      </c>
      <c r="H19" s="76" t="str">
        <f>IF(A19="","",IF(INDEX('Project Portfolio'!W$4:W$42,MATCH(A19,'Project Portfolio'!A$4:A$42,0))&gt;0,"Yes","No"))</f>
        <v>No</v>
      </c>
      <c r="I19" s="76" t="str">
        <f>IF(A19="","",IF(INDEX('Project Portfolio'!X$4:X$42,MATCH(A19,'Project Portfolio'!A$4:A$42,0))&gt;0,"Yes","No"))</f>
        <v>No</v>
      </c>
      <c r="J19" s="76" t="str">
        <f>IF(A19="","",IF(INDEX('Project Portfolio'!Y$4:Y$42,MATCH(A19,'Project Portfolio'!A$4:A$42,0))&gt;0,"Yes","No"))</f>
        <v>No</v>
      </c>
      <c r="K19" s="77" cm="1">
        <f t="array" ref="K19">IF(A19="","",IFERROR(_xlfn.LET(_xlpm.r,MATCH(A19,'Project Portfolio'!A$4:A$42,0),INDEX('Project Portfolio'!T$4:T$42,_xlpm.r)*AVERAGEIF('Team Roster'!$B$4:$B$26,"Business Analyst",'Team Roster'!$G$4:$G$26) + INDEX('Project Portfolio'!U$4:U$42,_xlpm.r)*AVERAGEIF('Team Roster'!$B$4:$B$26,"Functional",'Team Roster'!$G$4:$G$26) + INDEX('Project Portfolio'!V$4:V$42,_xlpm.r)*AVERAGEIF('Team Roster'!$B$4:$B$26,"Technical",'Team Roster'!$G$4:$G$26) + INDEX('Project Portfolio'!W$4:W$42,_xlpm.r)*AVERAGEIF('Team Roster'!$B$4:$B$26,"Developer",'Team Roster'!$G$4:$G$26) + INDEX('Project Portfolio'!X$4:X$42,_xlpm.r)*AVERAGEIF('Team Roster'!$B$4:$B$26,"Infrastructure",'Team Roster'!$G$4:$G$26) + INDEX('Project Portfolio'!Y$4:Y$42,_xlpm.r)*AVERAGEIF('Team Roster'!$B$4:$B$26,"DBA",'Team Roster'!$G$4:$G$26) + INDEX('Project Portfolio'!Z$4:Z$42,_xlpm.r)*AVERAGEIF('Team Roster'!$B$4:$B$26,"Project Manager",'Team Roster'!$G$4:$G$26) + INDEX('Project Portfolio'!AA$4:AA$42,_xlpm.r)*AVERAGEIF('Team Roster'!$B$4:$B$26,"WMS Consultant",'Team Roster'!$G$4:$G$26)),""))</f>
        <v>35.125</v>
      </c>
      <c r="L19" s="78" cm="1">
        <f t="array" aca="1" ref="L19" ca="1">IF(OR(A19="",E19="",F19="",G19="",H19="",I19="",J19=""),"",IF(OR(E19="Yes",F19="Yes",G19="Yes",H19="Yes",I19="Yes",J19="Yes"),IFERROR(_xlfn.LET(_xlpm.weekStart,INDEX($E$4:$AF$4,MATCH(1,($E$4:$AF$4&gt;=($B$2-WEEKDAY($B$2,3)))*IF((E19="Yes")*(E$5:AF$5&lt;$K19),0,1)*IF((F19="Yes")*(E$7:AF$7&lt;$K19),0,1)*IF((G19="Yes")*(E$10:AF$10&lt;$K19),0,1)*IF((H19="Yes")*(E$6:AF$6&lt;$K19),0,1)*IF((I19="Yes")*(E$8:AF$8&lt;$K19),0,1)*IF((J19="Yes")*(E$11:AF$11&lt;$K19),0,1),0)),MAX(_xlpm.weekStart,$B$2)),""),""))</f>
        <v>46109</v>
      </c>
      <c r="M19" s="79">
        <f t="shared" ref="M19" ca="1" si="3">IF(OR(L19="",K19="",K19=0),"",_xlfn.LET(_xlpm.start,L19,_xlpm.weekMon,_xlpm.start-WEEKDAY(_xlpm.start,3),_xlpm.daysLeft,7-WEEKDAY(_xlpm.start,3),_xlpm.partialPct,MIN(_xlpm.daysLeft/5,1),_xlpm.firstWkHrs,K19*_xlpm.partialPct,_xlpm.remainHrs,MAX(D19-_xlpm.firstWkHrs,0),_xlpm.fullWks,CEILING(_xlpm.remainHrs/K19,1),_xlpm.start+_xlpm.daysLeft+_xlpm.fullWks*7))</f>
        <v>46139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>
      <c r="A20" s="74" t="str">
        <v>ETE-37</v>
      </c>
      <c r="B20" s="74" t="str">
        <f>IF(A20="","",INDEX('Project Portfolio'!B$4:B$42,MATCH(A20,'Project Portfolio'!A$4:A$42,0)))</f>
        <v>Magic Search in BuyETE</v>
      </c>
      <c r="C20" s="74" t="str">
        <f>IF(A20="","",INDEX('Project Portfolio'!H$4:H$42,MATCH(A20,'Project Portfolio'!A$4:A$42,0)))</f>
        <v>Highest</v>
      </c>
      <c r="D20" s="75">
        <f>IF(A20="","",INDEX('Project Portfolio'!R$4:R$42,MATCH(A20,'Project Portfolio'!A$4:A$42,0)))</f>
        <v>40</v>
      </c>
      <c r="E20" s="76" t="str">
        <f>IF(A20="","",IF(INDEX('Project Portfolio'!T$4:T$42,MATCH(A20,'Project Portfolio'!A$4:A$42,0))&gt;0,"Yes","No"))</f>
        <v>Yes</v>
      </c>
      <c r="F20" s="76" t="str">
        <f>IF(A20="","",IF(INDEX('Project Portfolio'!U$4:U$42,MATCH(A20,'Project Portfolio'!A$4:A$42,0))&gt;0,"Yes","No"))</f>
        <v>Yes</v>
      </c>
      <c r="G20" s="76" t="str">
        <f>IF(A20="","",IF(INDEX('Project Portfolio'!V$4:V$42,MATCH(A20,'Project Portfolio'!A$4:A$42,0))&gt;0,"Yes","No"))</f>
        <v>No</v>
      </c>
      <c r="H20" s="76" t="str">
        <f>IF(A20="","",IF(INDEX('Project Portfolio'!W$4:W$42,MATCH(A20,'Project Portfolio'!A$4:A$42,0))&gt;0,"Yes","No"))</f>
        <v>Yes</v>
      </c>
      <c r="I20" s="76" t="str">
        <f>IF(A20="","",IF(INDEX('Project Portfolio'!X$4:X$42,MATCH(A20,'Project Portfolio'!A$4:A$42,0))&gt;0,"Yes","No"))</f>
        <v>No</v>
      </c>
      <c r="J20" s="76" t="str">
        <f>IF(A20="","",IF(INDEX('Project Portfolio'!Y$4:Y$42,MATCH(A20,'Project Portfolio'!A$4:A$42,0))&gt;0,"Yes","No"))</f>
        <v>No</v>
      </c>
      <c r="K20" s="77" cm="1">
        <f t="array" ref="K20">IF(A20="","",IFERROR(_xlfn.LET(_xlpm.r,MATCH(A20,'Project Portfolio'!A$4:A$42,0),INDEX('Project Portfolio'!T$4:T$42,_xlpm.r)*AVERAGEIF('Team Roster'!$B$4:$B$26,"Business Analyst",'Team Roster'!$G$4:$G$26) + INDEX('Project Portfolio'!U$4:U$42,_xlpm.r)*AVERAGEIF('Team Roster'!$B$4:$B$26,"Functional",'Team Roster'!$G$4:$G$26) + INDEX('Project Portfolio'!V$4:V$42,_xlpm.r)*AVERAGEIF('Team Roster'!$B$4:$B$26,"Technical",'Team Roster'!$G$4:$G$26) + INDEX('Project Portfolio'!W$4:W$42,_xlpm.r)*AVERAGEIF('Team Roster'!$B$4:$B$26,"Developer",'Team Roster'!$G$4:$G$26) + INDEX('Project Portfolio'!X$4:X$42,_xlpm.r)*AVERAGEIF('Team Roster'!$B$4:$B$26,"Infrastructure",'Team Roster'!$G$4:$G$26) + INDEX('Project Portfolio'!Y$4:Y$42,_xlpm.r)*AVERAGEIF('Team Roster'!$B$4:$B$26,"DBA",'Team Roster'!$G$4:$G$26) + INDEX('Project Portfolio'!Z$4:Z$42,_xlpm.r)*AVERAGEIF('Team Roster'!$B$4:$B$26,"Project Manager",'Team Roster'!$G$4:$G$26) + INDEX('Project Portfolio'!AA$4:AA$42,_xlpm.r)*AVERAGEIF('Team Roster'!$B$4:$B$26,"WMS Consultant",'Team Roster'!$G$4:$G$26)),""))</f>
        <v>28.625</v>
      </c>
      <c r="L20" s="78" cm="1">
        <f t="array" aca="1" ref="L20" ca="1">IF(OR(A20="",E20="",F20="",G20="",H20="",I20="",J20=""),"",IF(OR(E20="Yes",F20="Yes",G20="Yes",H20="Yes",I20="Yes",J20="Yes"),IFERROR(_xlfn.LET(_xlpm.weekStart,INDEX($E$4:$AF$4,MATCH(1,($E$4:$AF$4&gt;=($B$2-WEEKDAY($B$2,3)))*IF((E20="Yes")*(E$5:AF$5&lt;$K20),0,1)*IF((F20="Yes")*(E$7:AF$7&lt;$K20),0,1)*IF((G20="Yes")*(E$10:AF$10&lt;$K20),0,1)*IF((H20="Yes")*(E$6:AF$6&lt;$K20),0,1)*IF((I20="Yes")*(E$8:AF$8&lt;$K20),0,1)*IF((J20="Yes")*(E$11:AF$11&lt;$K20),0,1),0)),MAX(_xlpm.weekStart,$B$2)),""),""))</f>
        <v>46109</v>
      </c>
      <c r="M20" s="79">
        <f t="shared" ref="M20" ca="1" si="4">IF(OR(L20="",K20="",K20=0),"",_xlfn.LET(_xlpm.start,L20,_xlpm.weekMon,_xlpm.start-WEEKDAY(_xlpm.start,3),_xlpm.daysLeft,7-WEEKDAY(_xlpm.start,3),_xlpm.partialPct,MIN(_xlpm.daysLeft/5,1),_xlpm.firstWkHrs,K20*_xlpm.partialPct,_xlpm.remainHrs,MAX(D20-_xlpm.firstWkHrs,0),_xlpm.fullWks,CEILING(_xlpm.remainHrs/K20,1),_xlpm.start+_xlpm.daysLeft+_xlpm.fullWks*7))</f>
        <v>46118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>
      <c r="A21" s="3" t="str">
        <v>ETE-97</v>
      </c>
      <c r="B21" s="74" t="str">
        <f>IF(A21="","",INDEX('Project Portfolio'!B$4:B$42,MATCH(A21,'Project Portfolio'!A$4:A$42,0)))</f>
        <v>Standard Order Process Notifications</v>
      </c>
      <c r="C21" s="74" t="str">
        <f>IF(A21="","",INDEX('Project Portfolio'!H$4:H$42,MATCH(A21,'Project Portfolio'!A$4:A$42,0)))</f>
        <v>Highest</v>
      </c>
      <c r="D21" s="75">
        <f>IF(A21="","",INDEX('Project Portfolio'!R$4:R$42,MATCH(A21,'Project Portfolio'!A$4:A$42,0)))</f>
        <v>200</v>
      </c>
      <c r="E21" s="76" t="str">
        <f>IF(A21="","",IF(INDEX('Project Portfolio'!T$4:T$42,MATCH(A21,'Project Portfolio'!A$4:A$42,0))&gt;0,"Yes","No"))</f>
        <v>Yes</v>
      </c>
      <c r="F21" s="76" t="str">
        <f>IF(A21="","",IF(INDEX('Project Portfolio'!U$4:U$42,MATCH(A21,'Project Portfolio'!A$4:A$42,0))&gt;0,"Yes","No"))</f>
        <v>No</v>
      </c>
      <c r="G21" s="76" t="str">
        <f>IF(A21="","",IF(INDEX('Project Portfolio'!V$4:V$42,MATCH(A21,'Project Portfolio'!A$4:A$42,0))&gt;0,"Yes","No"))</f>
        <v>No</v>
      </c>
      <c r="H21" s="76" t="str">
        <f>IF(A21="","",IF(INDEX('Project Portfolio'!W$4:W$42,MATCH(A21,'Project Portfolio'!A$4:A$42,0))&gt;0,"Yes","No"))</f>
        <v>Yes</v>
      </c>
      <c r="I21" s="76" t="str">
        <f>IF(A21="","",IF(INDEX('Project Portfolio'!X$4:X$42,MATCH(A21,'Project Portfolio'!A$4:A$42,0))&gt;0,"Yes","No"))</f>
        <v>No</v>
      </c>
      <c r="J21" s="76" t="str">
        <f>IF(A21="","",IF(INDEX('Project Portfolio'!Y$4:Y$42,MATCH(A21,'Project Portfolio'!A$4:A$42,0))&gt;0,"Yes","No"))</f>
        <v>No</v>
      </c>
      <c r="K21" s="77" cm="1">
        <f t="array" ref="K21">IF(A21="","",IFERROR(_xlfn.LET(_xlpm.r,MATCH(A21,'Project Portfolio'!A$4:A$42,0),INDEX('Project Portfolio'!T$4:T$42,_xlpm.r)*AVERAGEIF('Team Roster'!$B$4:$B$26,"Business Analyst",'Team Roster'!$G$4:$G$26) + INDEX('Project Portfolio'!U$4:U$42,_xlpm.r)*AVERAGEIF('Team Roster'!$B$4:$B$26,"Functional",'Team Roster'!$G$4:$G$26) + INDEX('Project Portfolio'!V$4:V$42,_xlpm.r)*AVERAGEIF('Team Roster'!$B$4:$B$26,"Technical",'Team Roster'!$G$4:$G$26) + INDEX('Project Portfolio'!W$4:W$42,_xlpm.r)*AVERAGEIF('Team Roster'!$B$4:$B$26,"Developer",'Team Roster'!$G$4:$G$26) + INDEX('Project Portfolio'!X$4:X$42,_xlpm.r)*AVERAGEIF('Team Roster'!$B$4:$B$26,"Infrastructure",'Team Roster'!$G$4:$G$26) + INDEX('Project Portfolio'!Y$4:Y$42,_xlpm.r)*AVERAGEIF('Team Roster'!$B$4:$B$26,"DBA",'Team Roster'!$G$4:$G$26) + INDEX('Project Portfolio'!Z$4:Z$42,_xlpm.r)*AVERAGEIF('Team Roster'!$B$4:$B$26,"Project Manager",'Team Roster'!$G$4:$G$26) + INDEX('Project Portfolio'!AA$4:AA$42,_xlpm.r)*AVERAGEIF('Team Roster'!$B$4:$B$26,"WMS Consultant",'Team Roster'!$G$4:$G$26)),""))</f>
        <v>22.375</v>
      </c>
      <c r="L21" s="78" cm="1">
        <f t="array" aca="1" ref="L21" ca="1">IF(OR(A21="",E21="",F21="",G21="",H21="",I21="",J21=""),"",IF(OR(E21="Yes",F21="Yes",G21="Yes",H21="Yes",I21="Yes",J21="Yes"),IFERROR(_xlfn.LET(_xlpm.weekStart,INDEX($E$4:$AF$4,MATCH(1,($E$4:$AF$4&gt;=($B$2-WEEKDAY($B$2,3)))*IF((E21="Yes")*(E$5:AF$5&lt;$K21),0,1)*IF((F21="Yes")*(E$7:AF$7&lt;$K21),0,1)*IF((G21="Yes")*(E$10:AF$10&lt;$K21),0,1)*IF((H21="Yes")*(E$6:AF$6&lt;$K21),0,1)*IF((I21="Yes")*(E$8:AF$8&lt;$K21),0,1)*IF((J21="Yes")*(E$11:AF$11&lt;$K21),0,1),0)),MAX(_xlpm.weekStart,$B$2)),""),""))</f>
        <v>46109</v>
      </c>
      <c r="M21" s="79">
        <f t="shared" ref="M21" ca="1" si="5">IF(OR(L21="",K21="",K21=0),"",_xlfn.LET(_xlpm.start,L21,_xlpm.weekMon,_xlpm.start-WEEKDAY(_xlpm.start,3),_xlpm.daysLeft,7-WEEKDAY(_xlpm.start,3),_xlpm.partialPct,MIN(_xlpm.daysLeft/5,1),_xlpm.firstWkHrs,K21*_xlpm.partialPct,_xlpm.remainHrs,MAX(D21-_xlpm.firstWkHrs,0),_xlpm.fullWks,CEILING(_xlpm.remainHrs/K21,1),_xlpm.start+_xlpm.daysLeft+_xlpm.fullWks*7))</f>
        <v>46174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>
      <c r="A22" s="80" t="str">
        <v>ETE-100</v>
      </c>
      <c r="B22" s="74" t="str">
        <f>IF(A22="","",INDEX('Project Portfolio'!B$4:B$42,MATCH(A22,'Project Portfolio'!A$4:A$42,0)))</f>
        <v>ATSG Expired Members Self-Payment</v>
      </c>
      <c r="C22" s="74" t="str">
        <f>IF(A22="","",INDEX('Project Portfolio'!H$4:H$42,MATCH(A22,'Project Portfolio'!A$4:A$42,0)))</f>
        <v>Medium</v>
      </c>
      <c r="D22" s="75">
        <f>IF(A22="","",INDEX('Project Portfolio'!R$4:R$42,MATCH(A22,'Project Portfolio'!A$4:A$42,0)))</f>
        <v>200</v>
      </c>
      <c r="E22" s="76" t="str">
        <f>IF(A22="","",IF(INDEX('Project Portfolio'!T$4:T$42,MATCH(A22,'Project Portfolio'!A$4:A$42,0))&gt;0,"Yes","No"))</f>
        <v>Yes</v>
      </c>
      <c r="F22" s="76" t="str">
        <f>IF(A22="","",IF(INDEX('Project Portfolio'!U$4:U$42,MATCH(A22,'Project Portfolio'!A$4:A$42,0))&gt;0,"Yes","No"))</f>
        <v>No</v>
      </c>
      <c r="G22" s="76" t="str">
        <f>IF(A22="","",IF(INDEX('Project Portfolio'!V$4:V$42,MATCH(A22,'Project Portfolio'!A$4:A$42,0))&gt;0,"Yes","No"))</f>
        <v>No</v>
      </c>
      <c r="H22" s="76" t="str">
        <f>IF(A22="","",IF(INDEX('Project Portfolio'!W$4:W$42,MATCH(A22,'Project Portfolio'!A$4:A$42,0))&gt;0,"Yes","No"))</f>
        <v>Yes</v>
      </c>
      <c r="I22" s="76" t="str">
        <f>IF(A22="","",IF(INDEX('Project Portfolio'!X$4:X$42,MATCH(A22,'Project Portfolio'!A$4:A$42,0))&gt;0,"Yes","No"))</f>
        <v>No</v>
      </c>
      <c r="J22" s="76" t="str">
        <f>IF(A22="","",IF(INDEX('Project Portfolio'!Y$4:Y$42,MATCH(A22,'Project Portfolio'!A$4:A$42,0))&gt;0,"Yes","No"))</f>
        <v>No</v>
      </c>
      <c r="K22" s="77" cm="1">
        <f t="array" ref="K22">IF(A22="","",IFERROR(_xlfn.LET(_xlpm.r,MATCH(A22,'Project Portfolio'!A$4:A$42,0),INDEX('Project Portfolio'!T$4:T$42,_xlpm.r)*AVERAGEIF('Team Roster'!$B$4:$B$26,"Business Analyst",'Team Roster'!$G$4:$G$26) + INDEX('Project Portfolio'!U$4:U$42,_xlpm.r)*AVERAGEIF('Team Roster'!$B$4:$B$26,"Functional",'Team Roster'!$G$4:$G$26) + INDEX('Project Portfolio'!V$4:V$42,_xlpm.r)*AVERAGEIF('Team Roster'!$B$4:$B$26,"Technical",'Team Roster'!$G$4:$G$26) + INDEX('Project Portfolio'!W$4:W$42,_xlpm.r)*AVERAGEIF('Team Roster'!$B$4:$B$26,"Developer",'Team Roster'!$G$4:$G$26) + INDEX('Project Portfolio'!X$4:X$42,_xlpm.r)*AVERAGEIF('Team Roster'!$B$4:$B$26,"Infrastructure",'Team Roster'!$G$4:$G$26) + INDEX('Project Portfolio'!Y$4:Y$42,_xlpm.r)*AVERAGEIF('Team Roster'!$B$4:$B$26,"DBA",'Team Roster'!$G$4:$G$26) + INDEX('Project Portfolio'!Z$4:Z$42,_xlpm.r)*AVERAGEIF('Team Roster'!$B$4:$B$26,"Project Manager",'Team Roster'!$G$4:$G$26) + INDEX('Project Portfolio'!AA$4:AA$42,_xlpm.r)*AVERAGEIF('Team Roster'!$B$4:$B$26,"WMS Consultant",'Team Roster'!$G$4:$G$26)),""))</f>
        <v>22.375</v>
      </c>
      <c r="L22" s="78" cm="1">
        <f t="array" aca="1" ref="L22" ca="1">IF(OR(A22="",E22="",F22="",G22="",H22="",I22="",J22=""),"",IF(OR(E22="Yes",F22="Yes",G22="Yes",H22="Yes",I22="Yes",J22="Yes"),IFERROR(_xlfn.LET(_xlpm.weekStart,INDEX($E$4:$AF$4,MATCH(1,($E$4:$AF$4&gt;=($B$2-WEEKDAY($B$2,3)))*IF((E22="Yes")*(E$5:AF$5&lt;$K22),0,1)*IF((F22="Yes")*(E$7:AF$7&lt;$K22),0,1)*IF((G22="Yes")*(E$10:AF$10&lt;$K22),0,1)*IF((H22="Yes")*(E$6:AF$6&lt;$K22),0,1)*IF((I22="Yes")*(E$8:AF$8&lt;$K22),0,1)*IF((J22="Yes")*(E$11:AF$11&lt;$K22),0,1),0)),MAX(_xlpm.weekStart,$B$2)),""),""))</f>
        <v>46109</v>
      </c>
      <c r="M22" s="79">
        <f t="shared" ref="M22" ca="1" si="6">IF(OR(L22="",K22="",K22=0),"",_xlfn.LET(_xlpm.start,L22,_xlpm.weekMon,_xlpm.start-WEEKDAY(_xlpm.start,3),_xlpm.daysLeft,7-WEEKDAY(_xlpm.start,3),_xlpm.partialPct,MIN(_xlpm.daysLeft/5,1),_xlpm.firstWkHrs,K22*_xlpm.partialPct,_xlpm.remainHrs,MAX(D22-_xlpm.firstWkHrs,0),_xlpm.fullWks,CEILING(_xlpm.remainHrs/K22,1),_xlpm.start+_xlpm.daysLeft+_xlpm.fullWks*7))</f>
        <v>46174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>
      <c r="A23" s="81" t="str">
        <v>ETE-124</v>
      </c>
      <c r="B23" s="74" t="str">
        <f>IF(A23="","",INDEX('Project Portfolio'!B$4:B$42,MATCH(A23,'Project Portfolio'!A$4:A$42,0)))</f>
        <v>Clean Up Return Loads</v>
      </c>
      <c r="C23" s="74" t="str">
        <f>IF(A23="","",INDEX('Project Portfolio'!H$4:H$42,MATCH(A23,'Project Portfolio'!A$4:A$42,0)))</f>
        <v>Highest</v>
      </c>
      <c r="D23" s="75">
        <f>IF(A23="","",INDEX('Project Portfolio'!R$4:R$42,MATCH(A23,'Project Portfolio'!A$4:A$42,0)))</f>
        <v>200</v>
      </c>
      <c r="E23" s="76" t="str">
        <f>IF(A23="","",IF(INDEX('Project Portfolio'!T$4:T$42,MATCH(A23,'Project Portfolio'!A$4:A$42,0))&gt;0,"Yes","No"))</f>
        <v>Yes</v>
      </c>
      <c r="F23" s="76" t="str">
        <f>IF(A23="","",IF(INDEX('Project Portfolio'!U$4:U$42,MATCH(A23,'Project Portfolio'!A$4:A$42,0))&gt;0,"Yes","No"))</f>
        <v>Yes</v>
      </c>
      <c r="G23" s="76" t="str">
        <f>IF(A23="","",IF(INDEX('Project Portfolio'!V$4:V$42,MATCH(A23,'Project Portfolio'!A$4:A$42,0))&gt;0,"Yes","No"))</f>
        <v>Yes</v>
      </c>
      <c r="H23" s="76" t="str">
        <f>IF(A23="","",IF(INDEX('Project Portfolio'!W$4:W$42,MATCH(A23,'Project Portfolio'!A$4:A$42,0))&gt;0,"Yes","No"))</f>
        <v>No</v>
      </c>
      <c r="I23" s="76" t="str">
        <f>IF(A23="","",IF(INDEX('Project Portfolio'!X$4:X$42,MATCH(A23,'Project Portfolio'!A$4:A$42,0))&gt;0,"Yes","No"))</f>
        <v>No</v>
      </c>
      <c r="J23" s="76" t="str">
        <f>IF(A23="","",IF(INDEX('Project Portfolio'!Y$4:Y$42,MATCH(A23,'Project Portfolio'!A$4:A$42,0))&gt;0,"Yes","No"))</f>
        <v>No</v>
      </c>
      <c r="K23" s="77" cm="1">
        <f t="array" ref="K23">IF(A23="","",IFERROR(_xlfn.LET(_xlpm.r,MATCH(A23,'Project Portfolio'!A$4:A$42,0),INDEX('Project Portfolio'!T$4:T$42,_xlpm.r)*AVERAGEIF('Team Roster'!$B$4:$B$26,"Business Analyst",'Team Roster'!$G$4:$G$26) + INDEX('Project Portfolio'!U$4:U$42,_xlpm.r)*AVERAGEIF('Team Roster'!$B$4:$B$26,"Functional",'Team Roster'!$G$4:$G$26) + INDEX('Project Portfolio'!V$4:V$42,_xlpm.r)*AVERAGEIF('Team Roster'!$B$4:$B$26,"Technical",'Team Roster'!$G$4:$G$26) + INDEX('Project Portfolio'!W$4:W$42,_xlpm.r)*AVERAGEIF('Team Roster'!$B$4:$B$26,"Developer",'Team Roster'!$G$4:$G$26) + INDEX('Project Portfolio'!X$4:X$42,_xlpm.r)*AVERAGEIF('Team Roster'!$B$4:$B$26,"Infrastructure",'Team Roster'!$G$4:$G$26) + INDEX('Project Portfolio'!Y$4:Y$42,_xlpm.r)*AVERAGEIF('Team Roster'!$B$4:$B$26,"DBA",'Team Roster'!$G$4:$G$26) + INDEX('Project Portfolio'!Z$4:Z$42,_xlpm.r)*AVERAGEIF('Team Roster'!$B$4:$B$26,"Project Manager",'Team Roster'!$G$4:$G$26) + INDEX('Project Portfolio'!AA$4:AA$42,_xlpm.r)*AVERAGEIF('Team Roster'!$B$4:$B$26,"WMS Consultant",'Team Roster'!$G$4:$G$26)),""))</f>
        <v>38.625</v>
      </c>
      <c r="L23" s="78" cm="1">
        <f t="array" aca="1" ref="L23" ca="1">IF(OR(A23="",E23="",F23="",G23="",H23="",I23="",J23=""),"",IF(OR(E23="Yes",F23="Yes",G23="Yes",H23="Yes",I23="Yes",J23="Yes"),IFERROR(_xlfn.LET(_xlpm.weekStart,INDEX($E$4:$AF$4,MATCH(1,($E$4:$AF$4&gt;=($B$2-WEEKDAY($B$2,3)))*IF((E23="Yes")*(E$5:AF$5&lt;$K23),0,1)*IF((F23="Yes")*(E$7:AF$7&lt;$K23),0,1)*IF((G23="Yes")*(E$10:AF$10&lt;$K23),0,1)*IF((H23="Yes")*(E$6:AF$6&lt;$K23),0,1)*IF((I23="Yes")*(E$8:AF$8&lt;$K23),0,1)*IF((J23="Yes")*(E$11:AF$11&lt;$K23),0,1),0)),MAX(_xlpm.weekStart,$B$2)),""),""))</f>
        <v>46135</v>
      </c>
      <c r="M23" s="79">
        <f t="shared" ref="M23" ca="1" si="7">IF(OR(L23="",K23="",K23=0),"",_xlfn.LET(_xlpm.start,L23,_xlpm.weekMon,_xlpm.start-WEEKDAY(_xlpm.start,3),_xlpm.daysLeft,7-WEEKDAY(_xlpm.start,3),_xlpm.partialPct,MIN(_xlpm.daysLeft/5,1),_xlpm.firstWkHrs,K23*_xlpm.partialPct,_xlpm.remainHrs,MAX(D23-_xlpm.firstWkHrs,0),_xlpm.fullWks,CEILING(_xlpm.remainHrs/K23,1),_xlpm.start+_xlpm.daysLeft+_xlpm.fullWks*7))</f>
        <v>46174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>
      <c r="A24" s="8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>
      <c r="A25" s="81" t="s">
        <v>394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>
      <c r="A26" t="s">
        <v>395</v>
      </c>
    </row>
    <row r="27" spans="1:32">
      <c r="A27" t="s">
        <v>396</v>
      </c>
    </row>
    <row r="28" spans="1:32">
      <c r="A28" t="s">
        <v>397</v>
      </c>
    </row>
  </sheetData>
  <sheetProtection sheet="1" objects="1" scenarios="1"/>
  <conditionalFormatting sqref="E5:AF12">
    <cfRule type="expression" dxfId="40" priority="1">
      <formula>E5&lt;=0</formula>
    </cfRule>
  </conditionalFormatting>
  <conditionalFormatting sqref="E5:AF12">
    <cfRule type="expression" dxfId="39" priority="2">
      <formula>AND(E5&gt;0,E5&lt;=10)</formula>
    </cfRule>
  </conditionalFormatting>
  <conditionalFormatting sqref="E5:AF12">
    <cfRule type="expression" dxfId="38" priority="3">
      <formula>E5&gt;10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D6AB-A04C-4B89-88D3-E77EBD2FAC40}">
  <dimension ref="A1:H41"/>
  <sheetViews>
    <sheetView topLeftCell="A12" workbookViewId="0"/>
  </sheetViews>
  <sheetFormatPr defaultRowHeight="15"/>
  <cols>
    <col min="1" max="1" width="41.85546875" customWidth="1"/>
    <col min="2" max="3" width="17.140625" customWidth="1"/>
    <col min="4" max="4" width="21" customWidth="1"/>
    <col min="5" max="5" width="34.28515625" customWidth="1"/>
    <col min="6" max="6" width="13.28515625" customWidth="1"/>
    <col min="7" max="7" width="21" customWidth="1"/>
    <col min="8" max="8" width="15.28515625" customWidth="1"/>
  </cols>
  <sheetData>
    <row r="1" spans="1:8" ht="18.75">
      <c r="A1" s="174" t="s">
        <v>398</v>
      </c>
    </row>
    <row r="2" spans="1:8">
      <c r="A2" s="175" t="s">
        <v>399</v>
      </c>
    </row>
    <row r="4" spans="1:8">
      <c r="A4" s="177" t="s">
        <v>400</v>
      </c>
      <c r="B4" s="178"/>
      <c r="C4" s="178"/>
      <c r="D4" s="178"/>
    </row>
    <row r="5" spans="1:8">
      <c r="A5" s="179" t="s">
        <v>401</v>
      </c>
      <c r="B5" s="179" t="s">
        <v>402</v>
      </c>
      <c r="C5" s="179" t="s">
        <v>403</v>
      </c>
      <c r="D5" s="179" t="s">
        <v>125</v>
      </c>
    </row>
    <row r="6" spans="1:8">
      <c r="A6" t="s">
        <v>404</v>
      </c>
      <c r="B6" s="181">
        <v>40</v>
      </c>
      <c r="C6" t="s">
        <v>405</v>
      </c>
      <c r="D6" t="s">
        <v>406</v>
      </c>
    </row>
    <row r="7" spans="1:8">
      <c r="A7" t="s">
        <v>407</v>
      </c>
      <c r="B7" s="182">
        <v>0.1</v>
      </c>
      <c r="C7" t="s">
        <v>408</v>
      </c>
      <c r="D7" t="s">
        <v>409</v>
      </c>
    </row>
    <row r="8" spans="1:8">
      <c r="A8" t="s">
        <v>410</v>
      </c>
      <c r="B8" s="182">
        <v>0.1</v>
      </c>
      <c r="C8" t="s">
        <v>408</v>
      </c>
      <c r="D8" t="s">
        <v>411</v>
      </c>
    </row>
    <row r="9" spans="1:8">
      <c r="A9" t="s">
        <v>412</v>
      </c>
      <c r="B9" s="182">
        <v>0.8</v>
      </c>
      <c r="C9" t="s">
        <v>408</v>
      </c>
      <c r="D9" t="s">
        <v>413</v>
      </c>
    </row>
    <row r="10" spans="1:8">
      <c r="A10" s="183" t="s">
        <v>414</v>
      </c>
      <c r="B10" s="183">
        <f>B6*B9</f>
        <v>32</v>
      </c>
      <c r="C10" s="184" t="s">
        <v>405</v>
      </c>
      <c r="D10" s="184" t="s">
        <v>415</v>
      </c>
    </row>
    <row r="11" spans="1:8">
      <c r="A11" s="186" t="s">
        <v>416</v>
      </c>
      <c r="B11" s="185">
        <f>B7+B8+B9</f>
        <v>1</v>
      </c>
    </row>
    <row r="12" spans="1:8">
      <c r="A12" t="s">
        <v>417</v>
      </c>
      <c r="B12" s="181">
        <v>3</v>
      </c>
      <c r="C12" t="s">
        <v>418</v>
      </c>
      <c r="D12" t="s">
        <v>419</v>
      </c>
    </row>
    <row r="14" spans="1:8">
      <c r="A14" s="177" t="s">
        <v>420</v>
      </c>
      <c r="B14" s="178"/>
      <c r="C14" s="178"/>
      <c r="D14" s="178"/>
      <c r="E14" s="178"/>
      <c r="F14" s="178"/>
      <c r="G14" s="178"/>
      <c r="H14" s="178"/>
    </row>
    <row r="15" spans="1:8">
      <c r="A15" s="179"/>
      <c r="B15" s="179" t="s">
        <v>421</v>
      </c>
      <c r="C15" s="179" t="s">
        <v>422</v>
      </c>
      <c r="D15" s="179" t="s">
        <v>423</v>
      </c>
      <c r="E15" s="179" t="s">
        <v>424</v>
      </c>
      <c r="F15" s="179" t="s">
        <v>425</v>
      </c>
      <c r="G15" s="179" t="s">
        <v>426</v>
      </c>
      <c r="H15" s="179" t="s">
        <v>35</v>
      </c>
    </row>
    <row r="16" spans="1:8">
      <c r="A16" s="176" t="s">
        <v>427</v>
      </c>
      <c r="B16" s="182">
        <v>0.1</v>
      </c>
      <c r="C16" s="182">
        <v>0.1</v>
      </c>
      <c r="D16" s="182">
        <v>0.15</v>
      </c>
      <c r="E16" s="182">
        <v>0.3</v>
      </c>
      <c r="F16" s="182">
        <v>0.2</v>
      </c>
      <c r="G16" s="182">
        <v>0.15</v>
      </c>
      <c r="H16" s="187">
        <f>SUM(B16:G16)</f>
        <v>0.99999999999999989</v>
      </c>
    </row>
    <row r="18" spans="1:8">
      <c r="A18" s="177" t="s">
        <v>428</v>
      </c>
      <c r="B18" s="178"/>
      <c r="C18" s="178"/>
      <c r="D18" s="178"/>
      <c r="E18" s="178"/>
      <c r="F18" s="178"/>
      <c r="G18" s="178"/>
      <c r="H18" s="178"/>
    </row>
    <row r="19" spans="1:8">
      <c r="A19" s="175" t="s">
        <v>429</v>
      </c>
    </row>
    <row r="20" spans="1:8">
      <c r="A20" s="179" t="s">
        <v>54</v>
      </c>
      <c r="B20" s="179" t="s">
        <v>421</v>
      </c>
      <c r="C20" s="179" t="s">
        <v>422</v>
      </c>
      <c r="D20" s="179" t="s">
        <v>423</v>
      </c>
      <c r="E20" s="179" t="s">
        <v>424</v>
      </c>
      <c r="F20" s="179" t="s">
        <v>425</v>
      </c>
      <c r="G20" s="179" t="s">
        <v>426</v>
      </c>
      <c r="H20" s="179" t="s">
        <v>430</v>
      </c>
    </row>
    <row r="21" spans="1:8">
      <c r="A21" t="s">
        <v>112</v>
      </c>
      <c r="B21" s="189">
        <v>0.1</v>
      </c>
      <c r="C21" s="189">
        <v>0.25</v>
      </c>
      <c r="D21" s="189">
        <v>0.15</v>
      </c>
      <c r="E21" s="189">
        <v>0.2</v>
      </c>
      <c r="F21" s="189">
        <v>0.2</v>
      </c>
      <c r="G21" s="189">
        <v>0.1</v>
      </c>
      <c r="H21" s="190">
        <f>SUMPRODUCT(B21:G21,B$16:G$16)</f>
        <v>0.17249999999999999</v>
      </c>
    </row>
    <row r="22" spans="1:8">
      <c r="A22" t="s">
        <v>77</v>
      </c>
      <c r="B22" s="189">
        <v>0.05</v>
      </c>
      <c r="C22" s="189">
        <v>0.1</v>
      </c>
      <c r="D22" s="189">
        <v>0.3</v>
      </c>
      <c r="E22" s="189">
        <v>0.25</v>
      </c>
      <c r="F22" s="189">
        <v>0.2</v>
      </c>
      <c r="G22" s="189">
        <v>0.1</v>
      </c>
      <c r="H22" s="190">
        <f>SUMPRODUCT(B22:G22,B$16:G$16)</f>
        <v>0.19</v>
      </c>
    </row>
    <row r="23" spans="1:8">
      <c r="A23" t="s">
        <v>431</v>
      </c>
      <c r="B23" s="189">
        <v>0.3</v>
      </c>
      <c r="C23" s="189">
        <v>0.2</v>
      </c>
      <c r="D23" s="189">
        <v>0.2</v>
      </c>
      <c r="E23" s="189">
        <v>0.1</v>
      </c>
      <c r="F23" s="189">
        <v>0.15</v>
      </c>
      <c r="G23" s="189">
        <v>0.05</v>
      </c>
      <c r="H23" s="190">
        <f>SUMPRODUCT(B23:G23,B$16:G$16)</f>
        <v>0.14750000000000002</v>
      </c>
    </row>
    <row r="24" spans="1:8">
      <c r="A24" t="s">
        <v>432</v>
      </c>
      <c r="B24" s="189">
        <v>0.2</v>
      </c>
      <c r="C24" s="189">
        <v>0.1</v>
      </c>
      <c r="D24" s="189">
        <v>0.3</v>
      </c>
      <c r="E24" s="189">
        <v>0.15</v>
      </c>
      <c r="F24" s="189">
        <v>0.15</v>
      </c>
      <c r="G24" s="189">
        <v>0.1</v>
      </c>
      <c r="H24" s="190">
        <f>SUMPRODUCT(B24:G24,B$16:G$16)</f>
        <v>0.16500000000000004</v>
      </c>
    </row>
    <row r="25" spans="1:8">
      <c r="A25" t="s">
        <v>433</v>
      </c>
      <c r="B25" s="189">
        <v>0.05</v>
      </c>
      <c r="C25" s="189">
        <v>0.1</v>
      </c>
      <c r="D25" s="189">
        <v>0.2</v>
      </c>
      <c r="E25" s="189">
        <v>0.4</v>
      </c>
      <c r="F25" s="189">
        <v>0.15</v>
      </c>
      <c r="G25" s="189">
        <v>0.1</v>
      </c>
      <c r="H25" s="190">
        <f>SUMPRODUCT(B25:G25,B$16:G$16)</f>
        <v>0.20999999999999996</v>
      </c>
    </row>
    <row r="26" spans="1:8">
      <c r="A26" t="s">
        <v>82</v>
      </c>
      <c r="B26" s="189">
        <v>0</v>
      </c>
      <c r="C26" s="189">
        <v>0.05</v>
      </c>
      <c r="D26" s="189">
        <v>0.1</v>
      </c>
      <c r="E26" s="189">
        <v>0.5</v>
      </c>
      <c r="F26" s="189">
        <v>0.25</v>
      </c>
      <c r="G26" s="189">
        <v>0.1</v>
      </c>
      <c r="H26" s="190">
        <f>SUMPRODUCT(B26:G26,B$16:G$16)</f>
        <v>0.23499999999999999</v>
      </c>
    </row>
    <row r="27" spans="1:8">
      <c r="A27" t="s">
        <v>26</v>
      </c>
      <c r="B27" s="189">
        <v>0.05</v>
      </c>
      <c r="C27" s="189">
        <v>0.1</v>
      </c>
      <c r="D27" s="189">
        <v>0.15</v>
      </c>
      <c r="E27" s="189">
        <v>0.2</v>
      </c>
      <c r="F27" s="189">
        <v>0.15</v>
      </c>
      <c r="G27" s="189">
        <v>0.35</v>
      </c>
      <c r="H27" s="190">
        <f>SUMPRODUCT(B27:G27,B$16:G$16)</f>
        <v>0.18</v>
      </c>
    </row>
    <row r="28" spans="1:8">
      <c r="A28" s="177" t="s">
        <v>95</v>
      </c>
      <c r="B28" s="189">
        <v>0.1</v>
      </c>
      <c r="C28" s="189">
        <v>0.15</v>
      </c>
      <c r="D28" s="189">
        <v>0.1</v>
      </c>
      <c r="E28" s="189">
        <v>0.1</v>
      </c>
      <c r="F28" s="189">
        <v>0.05</v>
      </c>
      <c r="G28" s="189">
        <v>0.5</v>
      </c>
      <c r="H28" s="190">
        <f>SUMPRODUCT(B28:G28,B$16:G$16)</f>
        <v>0.15500000000000003</v>
      </c>
    </row>
    <row r="29" spans="1:8">
      <c r="A29" s="183" t="s">
        <v>434</v>
      </c>
      <c r="B29" s="195">
        <f>SUM(B21:B28)</f>
        <v>0.85000000000000009</v>
      </c>
      <c r="C29" s="195">
        <f>SUM(C21:C28)</f>
        <v>1.05</v>
      </c>
      <c r="D29" s="195">
        <f>SUM(D21:D28)</f>
        <v>1.5</v>
      </c>
      <c r="E29" s="195">
        <f>SUM(E21:E28)</f>
        <v>1.9000000000000001</v>
      </c>
      <c r="F29" s="191">
        <f>SUM(F21:F28)</f>
        <v>1.3</v>
      </c>
      <c r="G29" s="191">
        <f>SUM(G21:G28)</f>
        <v>1.4</v>
      </c>
      <c r="H29" s="184"/>
    </row>
    <row r="31" spans="1:8">
      <c r="A31" s="177" t="s">
        <v>435</v>
      </c>
      <c r="B31" s="178"/>
      <c r="C31" s="178"/>
      <c r="D31" s="178"/>
      <c r="E31" s="196"/>
    </row>
    <row r="32" spans="1:8">
      <c r="A32" s="179" t="s">
        <v>54</v>
      </c>
      <c r="B32" s="179" t="s">
        <v>13</v>
      </c>
      <c r="C32" s="179" t="s">
        <v>436</v>
      </c>
      <c r="D32" s="179" t="s">
        <v>437</v>
      </c>
      <c r="E32" s="197" t="s">
        <v>125</v>
      </c>
    </row>
    <row r="33" spans="1:5">
      <c r="A33" t="s">
        <v>112</v>
      </c>
      <c r="B33">
        <f>COUNTIF('Team Roster'!B$4:B$26,"Project Manager")</f>
        <v>3</v>
      </c>
      <c r="C33">
        <f>SUMIF('Team Roster'!B$4:B$26,"Project Manager",'Team Roster'!G$4:G$26)</f>
        <v>102</v>
      </c>
      <c r="D33">
        <f>C33*$B$9</f>
        <v>81.600000000000009</v>
      </c>
      <c r="E33" s="192" t="s">
        <v>438</v>
      </c>
    </row>
    <row r="34" spans="1:5">
      <c r="A34" t="s">
        <v>77</v>
      </c>
      <c r="B34">
        <f>COUNTIF('Team Roster'!B$4:B$26,"DBA")</f>
        <v>1</v>
      </c>
      <c r="C34">
        <f>SUMIF('Team Roster'!B$4:B$26,"DBA",'Team Roster'!G$4:G$26)</f>
        <v>35</v>
      </c>
      <c r="D34">
        <f>C34*$B$9</f>
        <v>28</v>
      </c>
      <c r="E34" s="192" t="s">
        <v>439</v>
      </c>
    </row>
    <row r="35" spans="1:5">
      <c r="A35" s="176" t="s">
        <v>431</v>
      </c>
      <c r="B35" s="176">
        <f>COUNTIF('Team Roster'!B$4:B$26,"Business Analyst")</f>
        <v>4</v>
      </c>
      <c r="C35" s="176">
        <f>SUMIF('Team Roster'!B$4:B$26,"Business Analyst",'Team Roster'!G$4:G$26)</f>
        <v>145</v>
      </c>
      <c r="D35" s="176">
        <f>C35*$B$9</f>
        <v>116</v>
      </c>
      <c r="E35" s="194" t="s">
        <v>440</v>
      </c>
    </row>
    <row r="36" spans="1:5">
      <c r="A36" t="s">
        <v>432</v>
      </c>
      <c r="B36">
        <f>COUNTIF('Team Roster'!B$4:B$26,"Functional")</f>
        <v>2</v>
      </c>
      <c r="C36">
        <f>SUMIF('Team Roster'!B$4:B$26,"Functional",'Team Roster'!G$4:G$26)</f>
        <v>70</v>
      </c>
      <c r="D36">
        <f>C36*$B$9</f>
        <v>56</v>
      </c>
      <c r="E36" s="192" t="s">
        <v>441</v>
      </c>
    </row>
    <row r="37" spans="1:5">
      <c r="A37" t="s">
        <v>433</v>
      </c>
      <c r="B37">
        <f>COUNTIF('Team Roster'!B$4:B$26,"Technical")</f>
        <v>5</v>
      </c>
      <c r="C37">
        <f>SUMIF('Team Roster'!B$4:B$26,"Technical",'Team Roster'!G$4:G$26)</f>
        <v>175</v>
      </c>
      <c r="D37">
        <f>C37*$B$9</f>
        <v>140</v>
      </c>
      <c r="E37" s="192" t="s">
        <v>442</v>
      </c>
    </row>
    <row r="38" spans="1:5">
      <c r="A38" s="183" t="s">
        <v>82</v>
      </c>
      <c r="B38" s="183">
        <f>COUNTIF('Team Roster'!B$4:B$26,"Developer")</f>
        <v>4</v>
      </c>
      <c r="C38" s="183">
        <f>SUMIF('Team Roster'!B$4:B$26,"Developer",'Team Roster'!G$4:G$26)</f>
        <v>100</v>
      </c>
      <c r="D38" s="183">
        <f>C38*$B$9</f>
        <v>80</v>
      </c>
      <c r="E38" s="193" t="s">
        <v>443</v>
      </c>
    </row>
    <row r="39" spans="1:5">
      <c r="A39" t="s">
        <v>26</v>
      </c>
      <c r="B39">
        <f>COUNTIF('Team Roster'!B$4:B$26,"Infrastructure")</f>
        <v>3</v>
      </c>
      <c r="C39">
        <f>SUMIF('Team Roster'!B$4:B$26,"Infrastructure",'Team Roster'!G$4:G$26)</f>
        <v>120</v>
      </c>
      <c r="D39">
        <f>C39*$B$9</f>
        <v>96</v>
      </c>
      <c r="E39" s="192" t="s">
        <v>444</v>
      </c>
    </row>
    <row r="40" spans="1:5">
      <c r="A40" t="s">
        <v>95</v>
      </c>
      <c r="B40">
        <f>COUNTIF('Team Roster'!B$4:B$26,"WMS Consultant")</f>
        <v>1</v>
      </c>
      <c r="C40">
        <f>SUMIF('Team Roster'!B$4:B$26,"WMS Consultant",'Team Roster'!G$4:G$26)</f>
        <v>35</v>
      </c>
      <c r="D40">
        <f>C40*$B$9</f>
        <v>28</v>
      </c>
      <c r="E40" s="192" t="s">
        <v>445</v>
      </c>
    </row>
    <row r="41" spans="1:5">
      <c r="A41" s="183" t="s">
        <v>31</v>
      </c>
      <c r="B41" s="183">
        <f>SUM(B33:B40)</f>
        <v>23</v>
      </c>
      <c r="C41" s="183">
        <f>SUM(C33:C40)</f>
        <v>782</v>
      </c>
      <c r="D41" s="183">
        <f>SUM(D33:D40)</f>
        <v>625.6</v>
      </c>
      <c r="E41" s="18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630EA-E76A-40FF-900D-AFE5F67638CA}">
  <dimension ref="A1:L49"/>
  <sheetViews>
    <sheetView topLeftCell="A3" workbookViewId="0"/>
  </sheetViews>
  <sheetFormatPr defaultRowHeight="15"/>
  <cols>
    <col min="1" max="2" width="34.28515625" customWidth="1"/>
    <col min="3" max="3" width="19" customWidth="1"/>
    <col min="4" max="4" width="20" customWidth="1"/>
    <col min="5" max="7" width="19" customWidth="1"/>
    <col min="8" max="10" width="18.140625" customWidth="1"/>
    <col min="11" max="12" width="15.28515625" customWidth="1"/>
  </cols>
  <sheetData>
    <row r="1" spans="1:12" ht="18.75">
      <c r="A1" s="174" t="s">
        <v>446</v>
      </c>
    </row>
    <row r="2" spans="1:12">
      <c r="A2" s="175" t="s">
        <v>447</v>
      </c>
    </row>
    <row r="4" spans="1:12">
      <c r="A4" s="177" t="s">
        <v>448</v>
      </c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</row>
    <row r="5" spans="1:12">
      <c r="A5" s="179" t="s">
        <v>250</v>
      </c>
      <c r="B5" s="179" t="s">
        <v>103</v>
      </c>
      <c r="C5" s="179" t="s">
        <v>449</v>
      </c>
      <c r="D5" s="179" t="s">
        <v>108</v>
      </c>
      <c r="E5" s="179" t="s">
        <v>115</v>
      </c>
      <c r="F5" s="179" t="s">
        <v>117</v>
      </c>
      <c r="G5" s="179" t="s">
        <v>118</v>
      </c>
      <c r="H5" s="179" t="s">
        <v>119</v>
      </c>
      <c r="I5" s="179" t="s">
        <v>120</v>
      </c>
      <c r="J5" s="179" t="s">
        <v>121</v>
      </c>
      <c r="K5" s="179" t="s">
        <v>122</v>
      </c>
      <c r="L5" s="179" t="s">
        <v>123</v>
      </c>
    </row>
    <row r="6" spans="1:12">
      <c r="A6" t="str" cm="1">
        <f t="array" ref="A6:A18">IFERROR(_xlfn._xlws.FILTER('Project Portfolio'!A$4:A$42,('Project Portfolio'!A$4:A$42&lt;&gt;"")*('Project Portfolio'!F$4:F$42&lt;&gt;"✅ COMPLETE")*('Project Portfolio'!F$4:F$42&lt;&gt;"⏸️ POSTPONED")*('Project Portfolio'!F$4:F$42&lt;&gt;"")),"")</f>
        <v>ETE-83</v>
      </c>
      <c r="B6" t="str">
        <f>IF(A6="","",INDEX('Project Portfolio'!B$4:B$42,MATCH(A6,'Project Portfolio'!A$4:A$42,0)))</f>
        <v>Customer Master Data Cleanup</v>
      </c>
      <c r="C6" t="str">
        <f>IF(A6="","",INDEX('Project Portfolio'!F$4:F$42,MATCH(A6,'Project Portfolio'!A$4:A$42,0)))</f>
        <v>📋 NEEDS TECHNICAL SPEC</v>
      </c>
      <c r="D6" t="str">
        <f>IF(A6="","",INDEX('Project Portfolio'!H$4:H$42,MATCH(A6,'Project Portfolio'!A$4:A$42,0)))</f>
        <v>High</v>
      </c>
      <c r="E6">
        <f>IF(A6="","",INDEX('Project Portfolio'!R$4:R$42,MATCH(A6,'Project Portfolio'!A$4:A$42,0)))</f>
        <v>1480</v>
      </c>
      <c r="F6" s="185">
        <f>IF(A6="","",INDEX('Project Portfolio'!T$4:T$42,MATCH(A6,'Project Portfolio'!A$4:A$42,0)))</f>
        <v>0.1</v>
      </c>
      <c r="G6" s="185">
        <f>IF(A6="","",INDEX('Project Portfolio'!U$4:U$42,MATCH(A6,'Project Portfolio'!A$4:A$42,0)))</f>
        <v>0</v>
      </c>
      <c r="H6" s="185">
        <f>IF(A6="","",INDEX('Project Portfolio'!V$4:V$42,MATCH(A6,'Project Portfolio'!A$4:A$42,0)))</f>
        <v>0</v>
      </c>
      <c r="I6" s="185">
        <f>IF(A6="","",INDEX('Project Portfolio'!W$4:W$42,MATCH(A6,'Project Portfolio'!A$4:A$42,0)))</f>
        <v>0</v>
      </c>
      <c r="J6" s="185">
        <f>IF(A6="","",INDEX('Project Portfolio'!X$4:X$42,MATCH(A6,'Project Portfolio'!A$4:A$42,0)))</f>
        <v>0</v>
      </c>
      <c r="K6" s="185">
        <f>IF(A6="","",INDEX('Project Portfolio'!Y$4:Y$42,MATCH(A6,'Project Portfolio'!A$4:A$42,0)))</f>
        <v>0</v>
      </c>
      <c r="L6" s="185">
        <f>IF(A6="","",INDEX('Project Portfolio'!Z$4:Z$42,MATCH(A6,'Project Portfolio'!A$4:A$42,0)))</f>
        <v>0</v>
      </c>
    </row>
    <row r="7" spans="1:12">
      <c r="A7" t="str">
        <v>ETE-48</v>
      </c>
      <c r="B7" t="str">
        <f>IF(A7="","",INDEX('Project Portfolio'!B$4:B$42,MATCH(A7,'Project Portfolio'!A$4:A$42,0)))</f>
        <v>System Connection Syteline-VKS</v>
      </c>
      <c r="C7" t="str">
        <f>IF(A7="","",INDEX('Project Portfolio'!F$4:F$42,MATCH(A7,'Project Portfolio'!A$4:A$42,0)))</f>
        <v>🟢 ON TRACK</v>
      </c>
      <c r="D7" t="str">
        <f>IF(A7="","",INDEX('Project Portfolio'!H$4:H$42,MATCH(A7,'Project Portfolio'!A$4:A$42,0)))</f>
        <v>High</v>
      </c>
      <c r="E7">
        <f>IF(A7="","",INDEX('Project Portfolio'!R$4:R$42,MATCH(A7,'Project Portfolio'!A$4:A$42,0)))</f>
        <v>240</v>
      </c>
      <c r="F7" s="185">
        <f>IF(A7="","",INDEX('Project Portfolio'!T$4:T$42,MATCH(A7,'Project Portfolio'!A$4:A$42,0)))</f>
        <v>0.1</v>
      </c>
      <c r="G7" s="185">
        <f>IF(A7="","",INDEX('Project Portfolio'!U$4:U$42,MATCH(A7,'Project Portfolio'!A$4:A$42,0)))</f>
        <v>0</v>
      </c>
      <c r="H7" s="185">
        <f>IF(A7="","",INDEX('Project Portfolio'!V$4:V$42,MATCH(A7,'Project Portfolio'!A$4:A$42,0)))</f>
        <v>0</v>
      </c>
      <c r="I7" s="185">
        <f>IF(A7="","",INDEX('Project Portfolio'!W$4:W$42,MATCH(A7,'Project Portfolio'!A$4:A$42,0)))</f>
        <v>0</v>
      </c>
      <c r="J7" s="185">
        <f>IF(A7="","",INDEX('Project Portfolio'!X$4:X$42,MATCH(A7,'Project Portfolio'!A$4:A$42,0)))</f>
        <v>0</v>
      </c>
      <c r="K7" s="185">
        <f>IF(A7="","",INDEX('Project Portfolio'!Y$4:Y$42,MATCH(A7,'Project Portfolio'!A$4:A$42,0)))</f>
        <v>0</v>
      </c>
      <c r="L7" s="185">
        <f>IF(A7="","",INDEX('Project Portfolio'!Z$4:Z$42,MATCH(A7,'Project Portfolio'!A$4:A$42,0)))</f>
        <v>0.25</v>
      </c>
    </row>
    <row r="8" spans="1:12">
      <c r="A8" t="str">
        <v>ETE-68</v>
      </c>
      <c r="B8" t="str">
        <f>IF(A8="","",INDEX('Project Portfolio'!B$4:B$42,MATCH(A8,'Project Portfolio'!A$4:A$42,0)))</f>
        <v>Catalog API Rust2Python</v>
      </c>
      <c r="C8" t="str">
        <f>IF(A8="","",INDEX('Project Portfolio'!F$4:F$42,MATCH(A8,'Project Portfolio'!A$4:A$42,0)))</f>
        <v>🟢 ON TRACK</v>
      </c>
      <c r="D8" t="str">
        <f>IF(A8="","",INDEX('Project Portfolio'!H$4:H$42,MATCH(A8,'Project Portfolio'!A$4:A$42,0)))</f>
        <v>High</v>
      </c>
      <c r="E8">
        <f>IF(A8="","",INDEX('Project Portfolio'!R$4:R$42,MATCH(A8,'Project Portfolio'!A$4:A$42,0)))</f>
        <v>640</v>
      </c>
      <c r="F8" s="185">
        <f>IF(A8="","",INDEX('Project Portfolio'!T$4:T$42,MATCH(A8,'Project Portfolio'!A$4:A$42,0)))</f>
        <v>0.1</v>
      </c>
      <c r="G8" s="185">
        <f>IF(A8="","",INDEX('Project Portfolio'!U$4:U$42,MATCH(A8,'Project Portfolio'!A$4:A$42,0)))</f>
        <v>0</v>
      </c>
      <c r="H8" s="185">
        <f>IF(A8="","",INDEX('Project Portfolio'!V$4:V$42,MATCH(A8,'Project Portfolio'!A$4:A$42,0)))</f>
        <v>0</v>
      </c>
      <c r="I8" s="185">
        <f>IF(A8="","",INDEX('Project Portfolio'!W$4:W$42,MATCH(A8,'Project Portfolio'!A$4:A$42,0)))</f>
        <v>0.75</v>
      </c>
      <c r="J8" s="185">
        <f>IF(A8="","",INDEX('Project Portfolio'!X$4:X$42,MATCH(A8,'Project Portfolio'!A$4:A$42,0)))</f>
        <v>0</v>
      </c>
      <c r="K8" s="185">
        <f>IF(A8="","",INDEX('Project Portfolio'!Y$4:Y$42,MATCH(A8,'Project Portfolio'!A$4:A$42,0)))</f>
        <v>0</v>
      </c>
      <c r="L8" s="185">
        <f>IF(A8="","",INDEX('Project Portfolio'!Z$4:Z$42,MATCH(A8,'Project Portfolio'!A$4:A$42,0)))</f>
        <v>0</v>
      </c>
    </row>
    <row r="9" spans="1:12">
      <c r="A9" t="str">
        <v>ETE-43</v>
      </c>
      <c r="B9" t="str">
        <f>IF(A9="","",INDEX('Project Portfolio'!B$4:B$42,MATCH(A9,'Project Portfolio'!A$4:A$42,0)))</f>
        <v>Data Security - Microsoft Purview</v>
      </c>
      <c r="C9" t="str">
        <f>IF(A9="","",INDEX('Project Portfolio'!F$4:F$42,MATCH(A9,'Project Portfolio'!A$4:A$42,0)))</f>
        <v>🟢 ON TRACK</v>
      </c>
      <c r="D9" t="str">
        <f>IF(A9="","",INDEX('Project Portfolio'!H$4:H$42,MATCH(A9,'Project Portfolio'!A$4:A$42,0)))</f>
        <v>High</v>
      </c>
      <c r="E9">
        <f>IF(A9="","",INDEX('Project Portfolio'!R$4:R$42,MATCH(A9,'Project Portfolio'!A$4:A$42,0)))</f>
        <v>0</v>
      </c>
      <c r="F9" s="185">
        <f>IF(A9="","",INDEX('Project Portfolio'!T$4:T$42,MATCH(A9,'Project Portfolio'!A$4:A$42,0)))</f>
        <v>0.1</v>
      </c>
      <c r="G9" s="185">
        <f>IF(A9="","",INDEX('Project Portfolio'!U$4:U$42,MATCH(A9,'Project Portfolio'!A$4:A$42,0)))</f>
        <v>0</v>
      </c>
      <c r="H9" s="185">
        <f>IF(A9="","",INDEX('Project Portfolio'!V$4:V$42,MATCH(A9,'Project Portfolio'!A$4:A$42,0)))</f>
        <v>0</v>
      </c>
      <c r="I9" s="185">
        <f>IF(A9="","",INDEX('Project Portfolio'!W$4:W$42,MATCH(A9,'Project Portfolio'!A$4:A$42,0)))</f>
        <v>0</v>
      </c>
      <c r="J9" s="185">
        <f>IF(A9="","",INDEX('Project Portfolio'!X$4:X$42,MATCH(A9,'Project Portfolio'!A$4:A$42,0)))</f>
        <v>0</v>
      </c>
      <c r="K9" s="185">
        <f>IF(A9="","",INDEX('Project Portfolio'!Y$4:Y$42,MATCH(A9,'Project Portfolio'!A$4:A$42,0)))</f>
        <v>0</v>
      </c>
      <c r="L9" s="185">
        <f>IF(A9="","",INDEX('Project Portfolio'!Z$4:Z$42,MATCH(A9,'Project Portfolio'!A$4:A$42,0)))</f>
        <v>0</v>
      </c>
    </row>
    <row r="10" spans="1:12">
      <c r="A10" t="str">
        <v>ETE-19</v>
      </c>
      <c r="B10" t="str">
        <f>IF(A10="","",INDEX('Project Portfolio'!B$4:B$42,MATCH(A10,'Project Portfolio'!A$4:A$42,0)))</f>
        <v>Changes to AR Aging Report</v>
      </c>
      <c r="C10" t="str">
        <f>IF(A10="","",INDEX('Project Portfolio'!F$4:F$42,MATCH(A10,'Project Portfolio'!A$4:A$42,0)))</f>
        <v>🟢 ON TRACK</v>
      </c>
      <c r="D10" t="str">
        <f>IF(A10="","",INDEX('Project Portfolio'!H$4:H$42,MATCH(A10,'Project Portfolio'!A$4:A$42,0)))</f>
        <v>High</v>
      </c>
      <c r="E10">
        <f>IF(A10="","",INDEX('Project Portfolio'!R$4:R$42,MATCH(A10,'Project Portfolio'!A$4:A$42,0)))</f>
        <v>120</v>
      </c>
      <c r="F10" s="185">
        <f>IF(A10="","",INDEX('Project Portfolio'!T$4:T$42,MATCH(A10,'Project Portfolio'!A$4:A$42,0)))</f>
        <v>0.1</v>
      </c>
      <c r="G10" s="185">
        <f>IF(A10="","",INDEX('Project Portfolio'!U$4:U$42,MATCH(A10,'Project Portfolio'!A$4:A$42,0)))</f>
        <v>0.25</v>
      </c>
      <c r="H10" s="185">
        <f>IF(A10="","",INDEX('Project Portfolio'!V$4:V$42,MATCH(A10,'Project Portfolio'!A$4:A$42,0)))</f>
        <v>0.65</v>
      </c>
      <c r="I10" s="185">
        <f>IF(A10="","",INDEX('Project Portfolio'!W$4:W$42,MATCH(A10,'Project Portfolio'!A$4:A$42,0)))</f>
        <v>0</v>
      </c>
      <c r="J10" s="185">
        <f>IF(A10="","",INDEX('Project Portfolio'!X$4:X$42,MATCH(A10,'Project Portfolio'!A$4:A$42,0)))</f>
        <v>0</v>
      </c>
      <c r="K10" s="185">
        <f>IF(A10="","",INDEX('Project Portfolio'!Y$4:Y$42,MATCH(A10,'Project Portfolio'!A$4:A$42,0)))</f>
        <v>0</v>
      </c>
      <c r="L10" s="185">
        <f>IF(A10="","",INDEX('Project Portfolio'!Z$4:Z$42,MATCH(A10,'Project Portfolio'!A$4:A$42,0)))</f>
        <v>0</v>
      </c>
    </row>
    <row r="11" spans="1:12">
      <c r="A11" t="str">
        <v>ETE-49</v>
      </c>
      <c r="B11" t="str">
        <f>IF(A11="","",INDEX('Project Portfolio'!B$4:B$42,MATCH(A11,'Project Portfolio'!A$4:A$42,0)))</f>
        <v>Marketing: STE Rewards Tier</v>
      </c>
      <c r="C11" t="str">
        <f>IF(A11="","",INDEX('Project Portfolio'!F$4:F$42,MATCH(A11,'Project Portfolio'!A$4:A$42,0)))</f>
        <v>📋 NEEDS TECHNICAL SPEC</v>
      </c>
      <c r="D11" t="str">
        <f>IF(A11="","",INDEX('Project Portfolio'!H$4:H$42,MATCH(A11,'Project Portfolio'!A$4:A$42,0)))</f>
        <v>Medium</v>
      </c>
      <c r="E11">
        <f>IF(A11="","",INDEX('Project Portfolio'!R$4:R$42,MATCH(A11,'Project Portfolio'!A$4:A$42,0)))</f>
        <v>240</v>
      </c>
      <c r="F11" s="185">
        <f>IF(A11="","",INDEX('Project Portfolio'!T$4:T$42,MATCH(A11,'Project Portfolio'!A$4:A$42,0)))</f>
        <v>0.1</v>
      </c>
      <c r="G11" s="185">
        <f>IF(A11="","",INDEX('Project Portfolio'!U$4:U$42,MATCH(A11,'Project Portfolio'!A$4:A$42,0)))</f>
        <v>0</v>
      </c>
      <c r="H11" s="185">
        <f>IF(A11="","",INDEX('Project Portfolio'!V$4:V$42,MATCH(A11,'Project Portfolio'!A$4:A$42,0)))</f>
        <v>0</v>
      </c>
      <c r="I11" s="185">
        <f>IF(A11="","",INDEX('Project Portfolio'!W$4:W$42,MATCH(A11,'Project Portfolio'!A$4:A$42,0)))</f>
        <v>0.75</v>
      </c>
      <c r="J11" s="185">
        <f>IF(A11="","",INDEX('Project Portfolio'!X$4:X$42,MATCH(A11,'Project Portfolio'!A$4:A$42,0)))</f>
        <v>0</v>
      </c>
      <c r="K11" s="185">
        <f>IF(A11="","",INDEX('Project Portfolio'!Y$4:Y$42,MATCH(A11,'Project Portfolio'!A$4:A$42,0)))</f>
        <v>0</v>
      </c>
      <c r="L11" s="185">
        <f>IF(A11="","",INDEX('Project Portfolio'!Z$4:Z$42,MATCH(A11,'Project Portfolio'!A$4:A$42,0)))</f>
        <v>0</v>
      </c>
    </row>
    <row r="12" spans="1:12">
      <c r="A12" t="str">
        <v>ETE-7</v>
      </c>
      <c r="B12" t="str">
        <f>IF(A12="","",INDEX('Project Portfolio'!B$4:B$42,MATCH(A12,'Project Portfolio'!A$4:A$42,0)))</f>
        <v>Outsourced Unit Core Accounting</v>
      </c>
      <c r="C12" t="str">
        <f>IF(A12="","",INDEX('Project Portfolio'!F$4:F$42,MATCH(A12,'Project Portfolio'!A$4:A$42,0)))</f>
        <v>📋 NEEDS FUNCTIONAL SPEC</v>
      </c>
      <c r="D12" t="str">
        <f>IF(A12="","",INDEX('Project Portfolio'!H$4:H$42,MATCH(A12,'Project Portfolio'!A$4:A$42,0)))</f>
        <v>Medium</v>
      </c>
      <c r="E12">
        <f>IF(A12="","",INDEX('Project Portfolio'!R$4:R$42,MATCH(A12,'Project Portfolio'!A$4:A$42,0)))</f>
        <v>640</v>
      </c>
      <c r="F12" s="185">
        <f>IF(A12="","",INDEX('Project Portfolio'!T$4:T$42,MATCH(A12,'Project Portfolio'!A$4:A$42,0)))</f>
        <v>0.1</v>
      </c>
      <c r="G12" s="185">
        <f>IF(A12="","",INDEX('Project Portfolio'!U$4:U$42,MATCH(A12,'Project Portfolio'!A$4:A$42,0)))</f>
        <v>0.25</v>
      </c>
      <c r="H12" s="185">
        <f>IF(A12="","",INDEX('Project Portfolio'!V$4:V$42,MATCH(A12,'Project Portfolio'!A$4:A$42,0)))</f>
        <v>0.65</v>
      </c>
      <c r="I12" s="185">
        <f>IF(A12="","",INDEX('Project Portfolio'!W$4:W$42,MATCH(A12,'Project Portfolio'!A$4:A$42,0)))</f>
        <v>0</v>
      </c>
      <c r="J12" s="185">
        <f>IF(A12="","",INDEX('Project Portfolio'!X$4:X$42,MATCH(A12,'Project Portfolio'!A$4:A$42,0)))</f>
        <v>0</v>
      </c>
      <c r="K12" s="185">
        <f>IF(A12="","",INDEX('Project Portfolio'!Y$4:Y$42,MATCH(A12,'Project Portfolio'!A$4:A$42,0)))</f>
        <v>0</v>
      </c>
      <c r="L12" s="185">
        <f>IF(A12="","",INDEX('Project Portfolio'!Z$4:Z$42,MATCH(A12,'Project Portfolio'!A$4:A$42,0)))</f>
        <v>0</v>
      </c>
    </row>
    <row r="13" spans="1:12">
      <c r="A13" t="str">
        <v>ETE-52</v>
      </c>
      <c r="B13" t="str">
        <f>IF(A13="","",INDEX('Project Portfolio'!B$4:B$42,MATCH(A13,'Project Portfolio'!A$4:A$42,0)))</f>
        <v>SWIMS/Syteline Reporting</v>
      </c>
      <c r="C13" t="str">
        <f>IF(A13="","",INDEX('Project Portfolio'!F$4:F$42,MATCH(A13,'Project Portfolio'!A$4:A$42,0)))</f>
        <v>📋 NEEDS TECHNICAL SPEC</v>
      </c>
      <c r="D13" t="str">
        <f>IF(A13="","",INDEX('Project Portfolio'!H$4:H$42,MATCH(A13,'Project Portfolio'!A$4:A$42,0)))</f>
        <v>Medium</v>
      </c>
      <c r="E13">
        <f>IF(A13="","",INDEX('Project Portfolio'!R$4:R$42,MATCH(A13,'Project Portfolio'!A$4:A$42,0)))</f>
        <v>40</v>
      </c>
      <c r="F13" s="185">
        <f>IF(A13="","",INDEX('Project Portfolio'!T$4:T$42,MATCH(A13,'Project Portfolio'!A$4:A$42,0)))</f>
        <v>0.1</v>
      </c>
      <c r="G13" s="185">
        <f>IF(A13="","",INDEX('Project Portfolio'!U$4:U$42,MATCH(A13,'Project Portfolio'!A$4:A$42,0)))</f>
        <v>0</v>
      </c>
      <c r="H13" s="185">
        <f>IF(A13="","",INDEX('Project Portfolio'!V$4:V$42,MATCH(A13,'Project Portfolio'!A$4:A$42,0)))</f>
        <v>0</v>
      </c>
      <c r="I13" s="185">
        <f>IF(A13="","",INDEX('Project Portfolio'!W$4:W$42,MATCH(A13,'Project Portfolio'!A$4:A$42,0)))</f>
        <v>0.75</v>
      </c>
      <c r="J13" s="185">
        <f>IF(A13="","",INDEX('Project Portfolio'!X$4:X$42,MATCH(A13,'Project Portfolio'!A$4:A$42,0)))</f>
        <v>0</v>
      </c>
      <c r="K13" s="185">
        <f>IF(A13="","",INDEX('Project Portfolio'!Y$4:Y$42,MATCH(A13,'Project Portfolio'!A$4:A$42,0)))</f>
        <v>0</v>
      </c>
      <c r="L13" s="185">
        <f>IF(A13="","",INDEX('Project Portfolio'!Z$4:Z$42,MATCH(A13,'Project Portfolio'!A$4:A$42,0)))</f>
        <v>0</v>
      </c>
    </row>
    <row r="14" spans="1:12">
      <c r="A14" t="str">
        <v>ETE-16</v>
      </c>
      <c r="B14" t="str">
        <f>IF(A14="","",INDEX('Project Portfolio'!B$4:B$42,MATCH(A14,'Project Portfolio'!A$4:A$42,0)))</f>
        <v>Partial Pay w/ CC from WMERP</v>
      </c>
      <c r="C14" t="str">
        <f>IF(A14="","",INDEX('Project Portfolio'!F$4:F$42,MATCH(A14,'Project Portfolio'!A$4:A$42,0)))</f>
        <v>⚪ NOT STARTED</v>
      </c>
      <c r="D14" t="str">
        <f>IF(A14="","",INDEX('Project Portfolio'!H$4:H$42,MATCH(A14,'Project Portfolio'!A$4:A$42,0)))</f>
        <v>Medium</v>
      </c>
      <c r="E14">
        <f>IF(A14="","",INDEX('Project Portfolio'!R$4:R$42,MATCH(A14,'Project Portfolio'!A$4:A$42,0)))</f>
        <v>120</v>
      </c>
      <c r="F14" s="185">
        <f>IF(A14="","",INDEX('Project Portfolio'!T$4:T$42,MATCH(A14,'Project Portfolio'!A$4:A$42,0)))</f>
        <v>0.1</v>
      </c>
      <c r="G14" s="185">
        <f>IF(A14="","",INDEX('Project Portfolio'!U$4:U$42,MATCH(A14,'Project Portfolio'!A$4:A$42,0)))</f>
        <v>0.25</v>
      </c>
      <c r="H14" s="185">
        <f>IF(A14="","",INDEX('Project Portfolio'!V$4:V$42,MATCH(A14,'Project Portfolio'!A$4:A$42,0)))</f>
        <v>0.65</v>
      </c>
      <c r="I14" s="185">
        <f>IF(A14="","",INDEX('Project Portfolio'!W$4:W$42,MATCH(A14,'Project Portfolio'!A$4:A$42,0)))</f>
        <v>0</v>
      </c>
      <c r="J14" s="185">
        <f>IF(A14="","",INDEX('Project Portfolio'!X$4:X$42,MATCH(A14,'Project Portfolio'!A$4:A$42,0)))</f>
        <v>0</v>
      </c>
      <c r="K14" s="185">
        <f>IF(A14="","",INDEX('Project Portfolio'!Y$4:Y$42,MATCH(A14,'Project Portfolio'!A$4:A$42,0)))</f>
        <v>0</v>
      </c>
      <c r="L14" s="185">
        <f>IF(A14="","",INDEX('Project Portfolio'!Z$4:Z$42,MATCH(A14,'Project Portfolio'!A$4:A$42,0)))</f>
        <v>0</v>
      </c>
    </row>
    <row r="15" spans="1:12">
      <c r="A15" t="str">
        <v>ETE-37</v>
      </c>
      <c r="B15" t="str">
        <f>IF(A15="","",INDEX('Project Portfolio'!B$4:B$42,MATCH(A15,'Project Portfolio'!A$4:A$42,0)))</f>
        <v>Magic Search in BuyETE</v>
      </c>
      <c r="C15" t="str">
        <f>IF(A15="","",INDEX('Project Portfolio'!F$4:F$42,MATCH(A15,'Project Portfolio'!A$4:A$42,0)))</f>
        <v>📋 NEEDS TECHNICAL SPEC</v>
      </c>
      <c r="D15" t="str">
        <f>IF(A15="","",INDEX('Project Portfolio'!H$4:H$42,MATCH(A15,'Project Portfolio'!A$4:A$42,0)))</f>
        <v>Highest</v>
      </c>
      <c r="E15">
        <f>IF(A15="","",INDEX('Project Portfolio'!R$4:R$42,MATCH(A15,'Project Portfolio'!A$4:A$42,0)))</f>
        <v>40</v>
      </c>
      <c r="F15" s="185">
        <f>IF(A15="","",INDEX('Project Portfolio'!T$4:T$42,MATCH(A15,'Project Portfolio'!A$4:A$42,0)))</f>
        <v>0.1</v>
      </c>
      <c r="G15" s="185">
        <f>IF(A15="","",INDEX('Project Portfolio'!U$4:U$42,MATCH(A15,'Project Portfolio'!A$4:A$42,0)))</f>
        <v>0.25</v>
      </c>
      <c r="H15" s="185">
        <f>IF(A15="","",INDEX('Project Portfolio'!V$4:V$42,MATCH(A15,'Project Portfolio'!A$4:A$42,0)))</f>
        <v>0</v>
      </c>
      <c r="I15" s="185">
        <f>IF(A15="","",INDEX('Project Portfolio'!W$4:W$42,MATCH(A15,'Project Portfolio'!A$4:A$42,0)))</f>
        <v>0.65</v>
      </c>
      <c r="J15" s="185">
        <f>IF(A15="","",INDEX('Project Portfolio'!X$4:X$42,MATCH(A15,'Project Portfolio'!A$4:A$42,0)))</f>
        <v>0</v>
      </c>
      <c r="K15" s="185">
        <f>IF(A15="","",INDEX('Project Portfolio'!Y$4:Y$42,MATCH(A15,'Project Portfolio'!A$4:A$42,0)))</f>
        <v>0</v>
      </c>
      <c r="L15" s="185">
        <f>IF(A15="","",INDEX('Project Portfolio'!Z$4:Z$42,MATCH(A15,'Project Portfolio'!A$4:A$42,0)))</f>
        <v>0</v>
      </c>
    </row>
    <row r="16" spans="1:12">
      <c r="A16" t="str">
        <v>ETE-97</v>
      </c>
      <c r="B16" t="str">
        <f>IF(A16="","",INDEX('Project Portfolio'!B$4:B$42,MATCH(A16,'Project Portfolio'!A$4:A$42,0)))</f>
        <v>Standard Order Process Notifications</v>
      </c>
      <c r="C16" t="str">
        <f>IF(A16="","",INDEX('Project Portfolio'!F$4:F$42,MATCH(A16,'Project Portfolio'!A$4:A$42,0)))</f>
        <v>⚪ NOT STARTED</v>
      </c>
      <c r="D16" t="str">
        <f>IF(A16="","",INDEX('Project Portfolio'!H$4:H$42,MATCH(A16,'Project Portfolio'!A$4:A$42,0)))</f>
        <v>Highest</v>
      </c>
      <c r="E16">
        <f>IF(A16="","",INDEX('Project Portfolio'!R$4:R$42,MATCH(A16,'Project Portfolio'!A$4:A$42,0)))</f>
        <v>200</v>
      </c>
      <c r="F16" s="185">
        <f>IF(A16="","",INDEX('Project Portfolio'!T$4:T$42,MATCH(A16,'Project Portfolio'!A$4:A$42,0)))</f>
        <v>0.1</v>
      </c>
      <c r="G16" s="185">
        <f>IF(A16="","",INDEX('Project Portfolio'!U$4:U$42,MATCH(A16,'Project Portfolio'!A$4:A$42,0)))</f>
        <v>0</v>
      </c>
      <c r="H16" s="185">
        <f>IF(A16="","",INDEX('Project Portfolio'!V$4:V$42,MATCH(A16,'Project Portfolio'!A$4:A$42,0)))</f>
        <v>0</v>
      </c>
      <c r="I16" s="185">
        <f>IF(A16="","",INDEX('Project Portfolio'!W$4:W$42,MATCH(A16,'Project Portfolio'!A$4:A$42,0)))</f>
        <v>0.75</v>
      </c>
      <c r="J16" s="185">
        <f>IF(A16="","",INDEX('Project Portfolio'!X$4:X$42,MATCH(A16,'Project Portfolio'!A$4:A$42,0)))</f>
        <v>0</v>
      </c>
      <c r="K16" s="185">
        <f>IF(A16="","",INDEX('Project Portfolio'!Y$4:Y$42,MATCH(A16,'Project Portfolio'!A$4:A$42,0)))</f>
        <v>0</v>
      </c>
      <c r="L16" s="185">
        <f>IF(A16="","",INDEX('Project Portfolio'!Z$4:Z$42,MATCH(A16,'Project Portfolio'!A$4:A$42,0)))</f>
        <v>0</v>
      </c>
    </row>
    <row r="17" spans="1:12">
      <c r="A17" t="str">
        <v>ETE-100</v>
      </c>
      <c r="B17" t="str">
        <f>IF(A17="","",INDEX('Project Portfolio'!B$4:B$42,MATCH(A17,'Project Portfolio'!A$4:A$42,0)))</f>
        <v>ATSG Expired Members Self-Payment</v>
      </c>
      <c r="C17" t="str">
        <f>IF(A17="","",INDEX('Project Portfolio'!F$4:F$42,MATCH(A17,'Project Portfolio'!A$4:A$42,0)))</f>
        <v>📋 NEEDS FUNCTIONAL SPEC</v>
      </c>
      <c r="D17" t="str">
        <f>IF(A17="","",INDEX('Project Portfolio'!H$4:H$42,MATCH(A17,'Project Portfolio'!A$4:A$42,0)))</f>
        <v>Medium</v>
      </c>
      <c r="E17">
        <f>IF(A17="","",INDEX('Project Portfolio'!R$4:R$42,MATCH(A17,'Project Portfolio'!A$4:A$42,0)))</f>
        <v>200</v>
      </c>
      <c r="F17" s="185">
        <f>IF(A17="","",INDEX('Project Portfolio'!T$4:T$42,MATCH(A17,'Project Portfolio'!A$4:A$42,0)))</f>
        <v>0.1</v>
      </c>
      <c r="G17" s="185">
        <f>IF(A17="","",INDEX('Project Portfolio'!U$4:U$42,MATCH(A17,'Project Portfolio'!A$4:A$42,0)))</f>
        <v>0</v>
      </c>
      <c r="H17" s="185">
        <f>IF(A17="","",INDEX('Project Portfolio'!V$4:V$42,MATCH(A17,'Project Portfolio'!A$4:A$42,0)))</f>
        <v>0</v>
      </c>
      <c r="I17" s="185">
        <f>IF(A17="","",INDEX('Project Portfolio'!W$4:W$42,MATCH(A17,'Project Portfolio'!A$4:A$42,0)))</f>
        <v>0.75</v>
      </c>
      <c r="J17" s="185">
        <f>IF(A17="","",INDEX('Project Portfolio'!X$4:X$42,MATCH(A17,'Project Portfolio'!A$4:A$42,0)))</f>
        <v>0</v>
      </c>
      <c r="K17" s="185">
        <f>IF(A17="","",INDEX('Project Portfolio'!Y$4:Y$42,MATCH(A17,'Project Portfolio'!A$4:A$42,0)))</f>
        <v>0</v>
      </c>
      <c r="L17" s="185">
        <f>IF(A17="","",INDEX('Project Portfolio'!Z$4:Z$42,MATCH(A17,'Project Portfolio'!A$4:A$42,0)))</f>
        <v>0</v>
      </c>
    </row>
    <row r="18" spans="1:12">
      <c r="A18" t="str">
        <v>ETE-124</v>
      </c>
      <c r="B18" t="str">
        <f>IF(A18="","",INDEX('Project Portfolio'!B$4:B$42,MATCH(A18,'Project Portfolio'!A$4:A$42,0)))</f>
        <v>Clean Up Return Loads</v>
      </c>
      <c r="C18" t="str">
        <f>IF(A18="","",INDEX('Project Portfolio'!F$4:F$42,MATCH(A18,'Project Portfolio'!A$4:A$42,0)))</f>
        <v>📋 NEEDS TECHNICAL SPEC</v>
      </c>
      <c r="D18" t="str">
        <f>IF(A18="","",INDEX('Project Portfolio'!H$4:H$42,MATCH(A18,'Project Portfolio'!A$4:A$42,0)))</f>
        <v>Highest</v>
      </c>
      <c r="E18">
        <f>IF(A18="","",INDEX('Project Portfolio'!R$4:R$42,MATCH(A18,'Project Portfolio'!A$4:A$42,0)))</f>
        <v>200</v>
      </c>
      <c r="F18" s="185">
        <f>IF(A18="","",INDEX('Project Portfolio'!T$4:T$42,MATCH(A18,'Project Portfolio'!A$4:A$42,0)))</f>
        <v>0.1</v>
      </c>
      <c r="G18" s="185">
        <f>IF(A18="","",INDEX('Project Portfolio'!U$4:U$42,MATCH(A18,'Project Portfolio'!A$4:A$42,0)))</f>
        <v>0.25</v>
      </c>
      <c r="H18" s="185">
        <f>IF(A18="","",INDEX('Project Portfolio'!V$4:V$42,MATCH(A18,'Project Portfolio'!A$4:A$42,0)))</f>
        <v>0.75</v>
      </c>
      <c r="I18" s="185">
        <f>IF(A18="","",INDEX('Project Portfolio'!W$4:W$42,MATCH(A18,'Project Portfolio'!A$4:A$42,0)))</f>
        <v>0</v>
      </c>
      <c r="J18" s="185">
        <f>IF(A18="","",INDEX('Project Portfolio'!X$4:X$42,MATCH(A18,'Project Portfolio'!A$4:A$42,0)))</f>
        <v>0</v>
      </c>
      <c r="K18" s="185">
        <f>IF(A18="","",INDEX('Project Portfolio'!Y$4:Y$42,MATCH(A18,'Project Portfolio'!A$4:A$42,0)))</f>
        <v>0</v>
      </c>
      <c r="L18" s="185">
        <f>IF(A18="","",INDEX('Project Portfolio'!Z$4:Z$42,MATCH(A18,'Project Portfolio'!A$4:A$42,0)))</f>
        <v>0</v>
      </c>
    </row>
    <row r="21" spans="1:12">
      <c r="A21" s="177" t="s">
        <v>450</v>
      </c>
      <c r="B21" s="178"/>
      <c r="C21" s="178"/>
      <c r="D21" s="178"/>
      <c r="E21" s="178"/>
      <c r="F21" s="178"/>
      <c r="G21" s="178"/>
    </row>
    <row r="22" spans="1:12">
      <c r="A22" s="175" t="s">
        <v>451</v>
      </c>
    </row>
    <row r="23" spans="1:12">
      <c r="A23" s="179" t="s">
        <v>54</v>
      </c>
      <c r="B23" s="179" t="s">
        <v>452</v>
      </c>
      <c r="C23" s="179" t="s">
        <v>453</v>
      </c>
      <c r="D23" s="179" t="s">
        <v>454</v>
      </c>
      <c r="E23" s="179" t="s">
        <v>455</v>
      </c>
      <c r="F23" s="179" t="s">
        <v>456</v>
      </c>
      <c r="G23" s="179" t="s">
        <v>449</v>
      </c>
    </row>
    <row r="24" spans="1:12">
      <c r="A24" t="s">
        <v>431</v>
      </c>
      <c r="B24" cm="1">
        <f t="array" ref="B24">SUMPRODUCT((A$6:A$18&lt;&gt;"")*E$6:E$18*F$6:F$18)</f>
        <v>416</v>
      </c>
      <c r="C24" s="188">
        <v>12</v>
      </c>
      <c r="D24" s="199">
        <f>IF(C24=0,0,B24/C24)</f>
        <v>34.666666666666664</v>
      </c>
      <c r="E24" s="198">
        <f>RM_Assumptions!D35</f>
        <v>116</v>
      </c>
      <c r="F24" s="199">
        <f>E24-D24</f>
        <v>81.333333333333343</v>
      </c>
      <c r="G24" t="str">
        <f>IF(F24&gt;0,"✅ OK",IF(F24&gt;-10,"⚠️ TIGHT","🔴 OVER"))</f>
        <v>✅ OK</v>
      </c>
    </row>
    <row r="25" spans="1:12">
      <c r="A25" t="s">
        <v>432</v>
      </c>
      <c r="B25" cm="1">
        <f t="array" ref="B25">SUMPRODUCT((A$6:A$18&lt;&gt;"")*E$6:E$18*G$6:G$18)</f>
        <v>280</v>
      </c>
      <c r="C25" s="188">
        <v>12</v>
      </c>
      <c r="D25" s="199">
        <f>IF(C25=0,0,B25/C25)</f>
        <v>23.333333333333332</v>
      </c>
      <c r="E25" s="198">
        <f>RM_Assumptions!D36</f>
        <v>56</v>
      </c>
      <c r="F25" s="199">
        <f>E25-D25</f>
        <v>32.666666666666671</v>
      </c>
      <c r="G25" t="str">
        <f>IF(F25&gt;0,"✅ OK",IF(F25&gt;-10,"⚠️ TIGHT","🔴 OVER"))</f>
        <v>✅ OK</v>
      </c>
    </row>
    <row r="26" spans="1:12">
      <c r="A26" t="s">
        <v>433</v>
      </c>
      <c r="B26" cm="1">
        <f t="array" ref="B26">SUMPRODUCT((A$6:A$18&lt;&gt;"")*E$6:E$18*H$6:H$18)</f>
        <v>722</v>
      </c>
      <c r="C26" s="188">
        <v>12</v>
      </c>
      <c r="D26" s="199">
        <f>IF(C26=0,0,B26/C26)</f>
        <v>60.166666666666664</v>
      </c>
      <c r="E26" s="198">
        <f>RM_Assumptions!D37</f>
        <v>140</v>
      </c>
      <c r="F26" s="199">
        <f>E26-D26</f>
        <v>79.833333333333343</v>
      </c>
      <c r="G26" t="str">
        <f>IF(F26&gt;0,"✅ OK",IF(F26&gt;-10,"⚠️ TIGHT","🔴 OVER"))</f>
        <v>✅ OK</v>
      </c>
    </row>
    <row r="27" spans="1:12">
      <c r="A27" t="s">
        <v>82</v>
      </c>
      <c r="B27" cm="1">
        <f t="array" ref="B27">SUMPRODUCT((A$6:A$18&lt;&gt;"")*E$6:E$18*I$6:I$18)</f>
        <v>1016</v>
      </c>
      <c r="C27" s="188">
        <v>12</v>
      </c>
      <c r="D27" s="199">
        <f>IF(C27=0,0,B27/C27)</f>
        <v>84.666666666666671</v>
      </c>
      <c r="E27" s="198">
        <f>RM_Assumptions!D38</f>
        <v>80</v>
      </c>
      <c r="F27" s="199">
        <f>E27-D27</f>
        <v>-4.6666666666666714</v>
      </c>
      <c r="G27" t="str">
        <f>IF(F27&gt;0,"✅ OK",IF(F27&gt;-10,"⚠️ TIGHT","🔴 OVER"))</f>
        <v>⚠️ TIGHT</v>
      </c>
    </row>
    <row r="28" spans="1:12">
      <c r="A28" t="s">
        <v>26</v>
      </c>
      <c r="B28" cm="1">
        <f t="array" ref="B28">SUMPRODUCT((A$6:A$18&lt;&gt;"")*E$6:E$18*J$6:J$18)</f>
        <v>0</v>
      </c>
      <c r="C28" s="188">
        <v>12</v>
      </c>
      <c r="D28" s="199">
        <f>IF(C28=0,0,B28/C28)</f>
        <v>0</v>
      </c>
      <c r="E28" s="198">
        <f>RM_Assumptions!D39</f>
        <v>96</v>
      </c>
      <c r="F28" s="199">
        <f>E28-D28</f>
        <v>96</v>
      </c>
      <c r="G28" t="str">
        <f>IF(F28&gt;0,"✅ OK",IF(F28&gt;-10,"⚠️ TIGHT","🔴 OVER"))</f>
        <v>✅ OK</v>
      </c>
    </row>
    <row r="29" spans="1:12">
      <c r="A29" t="s">
        <v>77</v>
      </c>
      <c r="B29" cm="1">
        <f t="array" ref="B29">SUMPRODUCT((A$6:A$18&lt;&gt;"")*E$6:E$18*K$6:K$18)</f>
        <v>0</v>
      </c>
      <c r="C29" s="188">
        <v>12</v>
      </c>
      <c r="D29" s="199">
        <f>IF(C29=0,0,B29/C29)</f>
        <v>0</v>
      </c>
      <c r="E29" s="198">
        <f>RM_Assumptions!D34</f>
        <v>28</v>
      </c>
      <c r="F29" s="199">
        <f>E29-D29</f>
        <v>28</v>
      </c>
      <c r="G29" t="str">
        <f>IF(F29&gt;0,"✅ OK",IF(F29&gt;-10,"⚠️ TIGHT","🔴 OVER"))</f>
        <v>✅ OK</v>
      </c>
    </row>
    <row r="30" spans="1:12">
      <c r="A30" t="s">
        <v>112</v>
      </c>
      <c r="B30" cm="1">
        <f t="array" ref="B30">SUMPRODUCT((A$6:A$18&lt;&gt;"")*E$6:E$18*L$6:L$18)</f>
        <v>60</v>
      </c>
      <c r="C30" s="188">
        <v>12</v>
      </c>
      <c r="D30" s="199">
        <f>IF(C30=0,0,B30/C30)</f>
        <v>5</v>
      </c>
      <c r="E30" s="198">
        <f>RM_Assumptions!D33</f>
        <v>81.600000000000009</v>
      </c>
      <c r="F30" s="199">
        <f>E30-D30</f>
        <v>76.600000000000009</v>
      </c>
      <c r="G30" t="str">
        <f>IF(F30&gt;0,"✅ OK",IF(F30&gt;-10,"⚠️ TIGHT","🔴 OVER"))</f>
        <v>✅ OK</v>
      </c>
    </row>
    <row r="31" spans="1:12">
      <c r="A31" s="183" t="s">
        <v>31</v>
      </c>
      <c r="B31" s="183">
        <f>SUM(B24:B30)</f>
        <v>2494</v>
      </c>
      <c r="C31" s="183"/>
      <c r="D31" s="200">
        <f>SUM(D24:D30)</f>
        <v>207.83333333333331</v>
      </c>
      <c r="E31" s="183">
        <f>SUM(E24:E30)</f>
        <v>597.6</v>
      </c>
      <c r="F31" s="200">
        <f>SUM(F24:F30)</f>
        <v>389.76666666666671</v>
      </c>
      <c r="G31" s="183"/>
    </row>
    <row r="32" spans="1:12">
      <c r="A32" s="175" t="s">
        <v>457</v>
      </c>
    </row>
    <row r="34" spans="1:9">
      <c r="A34" s="177" t="s">
        <v>458</v>
      </c>
      <c r="B34" s="178"/>
      <c r="C34" s="178"/>
      <c r="D34" s="178"/>
      <c r="E34" s="178"/>
      <c r="F34" s="178"/>
      <c r="G34" s="178"/>
      <c r="H34" s="178"/>
      <c r="I34" s="178"/>
    </row>
    <row r="35" spans="1:9">
      <c r="A35" s="179" t="s">
        <v>250</v>
      </c>
      <c r="B35" s="179" t="s">
        <v>115</v>
      </c>
      <c r="C35" s="179" t="s">
        <v>459</v>
      </c>
      <c r="D35" s="179" t="s">
        <v>460</v>
      </c>
      <c r="E35" s="179" t="s">
        <v>461</v>
      </c>
      <c r="F35" s="179" t="s">
        <v>462</v>
      </c>
      <c r="G35" s="179" t="s">
        <v>463</v>
      </c>
      <c r="H35" s="179" t="s">
        <v>464</v>
      </c>
      <c r="I35" s="179" t="s">
        <v>465</v>
      </c>
    </row>
    <row r="36" spans="1:9">
      <c r="A36" t="str">
        <f>IF(A6="","",A6)</f>
        <v>ETE-83</v>
      </c>
      <c r="B36">
        <f>IF(A36="","",E6)</f>
        <v>1480</v>
      </c>
      <c r="C36">
        <f>IF($A36="","",$B36*F6)</f>
        <v>148</v>
      </c>
      <c r="D36">
        <f>IF($A36="","",$B36*G6)</f>
        <v>0</v>
      </c>
      <c r="E36">
        <f>IF($A36="","",$B36*H6)</f>
        <v>0</v>
      </c>
      <c r="F36">
        <f>IF($A36="","",$B36*I6)</f>
        <v>0</v>
      </c>
      <c r="G36">
        <f>IF($A36="","",$B36*J6)</f>
        <v>0</v>
      </c>
      <c r="H36">
        <f>IF($A36="","",$B36*K6)</f>
        <v>0</v>
      </c>
      <c r="I36">
        <f>IF($A36="","",$B36*L6)</f>
        <v>0</v>
      </c>
    </row>
    <row r="37" spans="1:9">
      <c r="A37" t="str">
        <f t="shared" ref="A37:A48" si="0">IF(A7="","",A7)</f>
        <v>ETE-48</v>
      </c>
      <c r="B37">
        <f t="shared" ref="B37:B48" si="1">IF(A37="","",E7)</f>
        <v>240</v>
      </c>
      <c r="C37">
        <f t="shared" ref="C37:I37" si="2">IF($A37="","",$B37*F7)</f>
        <v>24</v>
      </c>
      <c r="D37">
        <f t="shared" si="2"/>
        <v>0</v>
      </c>
      <c r="E37">
        <f t="shared" si="2"/>
        <v>0</v>
      </c>
      <c r="F37">
        <f t="shared" si="2"/>
        <v>0</v>
      </c>
      <c r="G37">
        <f t="shared" si="2"/>
        <v>0</v>
      </c>
      <c r="H37">
        <f t="shared" si="2"/>
        <v>0</v>
      </c>
      <c r="I37">
        <f t="shared" si="2"/>
        <v>60</v>
      </c>
    </row>
    <row r="38" spans="1:9">
      <c r="A38" t="str">
        <f t="shared" si="0"/>
        <v>ETE-68</v>
      </c>
      <c r="B38">
        <f t="shared" si="1"/>
        <v>640</v>
      </c>
      <c r="C38">
        <f t="shared" ref="C38:I38" si="3">IF($A38="","",$B38*F8)</f>
        <v>64</v>
      </c>
      <c r="D38">
        <f t="shared" si="3"/>
        <v>0</v>
      </c>
      <c r="E38">
        <f t="shared" si="3"/>
        <v>0</v>
      </c>
      <c r="F38">
        <f t="shared" si="3"/>
        <v>480</v>
      </c>
      <c r="G38">
        <f t="shared" si="3"/>
        <v>0</v>
      </c>
      <c r="H38">
        <f t="shared" si="3"/>
        <v>0</v>
      </c>
      <c r="I38">
        <f t="shared" si="3"/>
        <v>0</v>
      </c>
    </row>
    <row r="39" spans="1:9">
      <c r="A39" t="str">
        <f t="shared" si="0"/>
        <v>ETE-43</v>
      </c>
      <c r="B39">
        <f t="shared" si="1"/>
        <v>0</v>
      </c>
      <c r="C39">
        <f t="shared" ref="C39:I39" si="4">IF($A39="","",$B39*F9)</f>
        <v>0</v>
      </c>
      <c r="D39">
        <f t="shared" si="4"/>
        <v>0</v>
      </c>
      <c r="E39">
        <f t="shared" si="4"/>
        <v>0</v>
      </c>
      <c r="F39">
        <f t="shared" si="4"/>
        <v>0</v>
      </c>
      <c r="G39">
        <f t="shared" si="4"/>
        <v>0</v>
      </c>
      <c r="H39">
        <f t="shared" si="4"/>
        <v>0</v>
      </c>
      <c r="I39">
        <f t="shared" si="4"/>
        <v>0</v>
      </c>
    </row>
    <row r="40" spans="1:9">
      <c r="A40" t="str">
        <f t="shared" si="0"/>
        <v>ETE-19</v>
      </c>
      <c r="B40">
        <f t="shared" si="1"/>
        <v>120</v>
      </c>
      <c r="C40">
        <f t="shared" ref="C40:I40" si="5">IF($A40="","",$B40*F10)</f>
        <v>12</v>
      </c>
      <c r="D40">
        <f t="shared" si="5"/>
        <v>30</v>
      </c>
      <c r="E40">
        <f t="shared" si="5"/>
        <v>78</v>
      </c>
      <c r="F40">
        <f t="shared" si="5"/>
        <v>0</v>
      </c>
      <c r="G40">
        <f t="shared" si="5"/>
        <v>0</v>
      </c>
      <c r="H40">
        <f t="shared" si="5"/>
        <v>0</v>
      </c>
      <c r="I40">
        <f t="shared" si="5"/>
        <v>0</v>
      </c>
    </row>
    <row r="41" spans="1:9">
      <c r="A41" t="str">
        <f t="shared" si="0"/>
        <v>ETE-49</v>
      </c>
      <c r="B41">
        <f t="shared" si="1"/>
        <v>240</v>
      </c>
      <c r="C41">
        <f t="shared" ref="C41:I41" si="6">IF($A41="","",$B41*F11)</f>
        <v>24</v>
      </c>
      <c r="D41">
        <f t="shared" si="6"/>
        <v>0</v>
      </c>
      <c r="E41">
        <f t="shared" si="6"/>
        <v>0</v>
      </c>
      <c r="F41">
        <f t="shared" si="6"/>
        <v>180</v>
      </c>
      <c r="G41">
        <f t="shared" si="6"/>
        <v>0</v>
      </c>
      <c r="H41">
        <f t="shared" si="6"/>
        <v>0</v>
      </c>
      <c r="I41">
        <f t="shared" si="6"/>
        <v>0</v>
      </c>
    </row>
    <row r="42" spans="1:9">
      <c r="A42" t="str">
        <f t="shared" si="0"/>
        <v>ETE-7</v>
      </c>
      <c r="B42">
        <f t="shared" si="1"/>
        <v>640</v>
      </c>
      <c r="C42">
        <f t="shared" ref="C42:I42" si="7">IF($A42="","",$B42*F12)</f>
        <v>64</v>
      </c>
      <c r="D42">
        <f t="shared" si="7"/>
        <v>160</v>
      </c>
      <c r="E42">
        <f t="shared" si="7"/>
        <v>416</v>
      </c>
      <c r="F42">
        <f t="shared" si="7"/>
        <v>0</v>
      </c>
      <c r="G42">
        <f t="shared" si="7"/>
        <v>0</v>
      </c>
      <c r="H42">
        <f t="shared" si="7"/>
        <v>0</v>
      </c>
      <c r="I42">
        <f t="shared" si="7"/>
        <v>0</v>
      </c>
    </row>
    <row r="43" spans="1:9">
      <c r="A43" t="str">
        <f t="shared" si="0"/>
        <v>ETE-52</v>
      </c>
      <c r="B43">
        <f t="shared" si="1"/>
        <v>40</v>
      </c>
      <c r="C43">
        <f t="shared" ref="C43:I43" si="8">IF($A43="","",$B43*F13)</f>
        <v>4</v>
      </c>
      <c r="D43">
        <f t="shared" si="8"/>
        <v>0</v>
      </c>
      <c r="E43">
        <f t="shared" si="8"/>
        <v>0</v>
      </c>
      <c r="F43">
        <f t="shared" si="8"/>
        <v>30</v>
      </c>
      <c r="G43">
        <f t="shared" si="8"/>
        <v>0</v>
      </c>
      <c r="H43">
        <f t="shared" si="8"/>
        <v>0</v>
      </c>
      <c r="I43">
        <f t="shared" si="8"/>
        <v>0</v>
      </c>
    </row>
    <row r="44" spans="1:9">
      <c r="A44" t="str">
        <f t="shared" si="0"/>
        <v>ETE-16</v>
      </c>
      <c r="B44">
        <f t="shared" si="1"/>
        <v>120</v>
      </c>
      <c r="C44">
        <f t="shared" ref="C44:I44" si="9">IF($A44="","",$B44*F14)</f>
        <v>12</v>
      </c>
      <c r="D44">
        <f t="shared" si="9"/>
        <v>30</v>
      </c>
      <c r="E44">
        <f t="shared" si="9"/>
        <v>78</v>
      </c>
      <c r="F44">
        <f t="shared" si="9"/>
        <v>0</v>
      </c>
      <c r="G44">
        <f t="shared" si="9"/>
        <v>0</v>
      </c>
      <c r="H44">
        <f t="shared" si="9"/>
        <v>0</v>
      </c>
      <c r="I44">
        <f t="shared" si="9"/>
        <v>0</v>
      </c>
    </row>
    <row r="45" spans="1:9">
      <c r="A45" t="str">
        <f t="shared" si="0"/>
        <v>ETE-37</v>
      </c>
      <c r="B45">
        <f t="shared" si="1"/>
        <v>40</v>
      </c>
      <c r="C45">
        <f t="shared" ref="C45:I45" si="10">IF($A45="","",$B45*F15)</f>
        <v>4</v>
      </c>
      <c r="D45">
        <f t="shared" si="10"/>
        <v>10</v>
      </c>
      <c r="E45">
        <f t="shared" si="10"/>
        <v>0</v>
      </c>
      <c r="F45">
        <f t="shared" si="10"/>
        <v>26</v>
      </c>
      <c r="G45">
        <f t="shared" si="10"/>
        <v>0</v>
      </c>
      <c r="H45">
        <f t="shared" si="10"/>
        <v>0</v>
      </c>
      <c r="I45">
        <f t="shared" si="10"/>
        <v>0</v>
      </c>
    </row>
    <row r="46" spans="1:9">
      <c r="A46" t="str">
        <f t="shared" si="0"/>
        <v>ETE-97</v>
      </c>
      <c r="B46">
        <f t="shared" si="1"/>
        <v>200</v>
      </c>
      <c r="C46">
        <f t="shared" ref="C46:I46" si="11">IF($A46="","",$B46*F16)</f>
        <v>20</v>
      </c>
      <c r="D46">
        <f t="shared" si="11"/>
        <v>0</v>
      </c>
      <c r="E46">
        <f t="shared" si="11"/>
        <v>0</v>
      </c>
      <c r="F46">
        <f t="shared" si="11"/>
        <v>150</v>
      </c>
      <c r="G46">
        <f t="shared" si="11"/>
        <v>0</v>
      </c>
      <c r="H46">
        <f t="shared" si="11"/>
        <v>0</v>
      </c>
      <c r="I46">
        <f t="shared" si="11"/>
        <v>0</v>
      </c>
    </row>
    <row r="47" spans="1:9">
      <c r="A47" t="str">
        <f t="shared" si="0"/>
        <v>ETE-100</v>
      </c>
      <c r="B47">
        <f t="shared" si="1"/>
        <v>200</v>
      </c>
      <c r="C47">
        <f t="shared" ref="C47:I47" si="12">IF($A47="","",$B47*F17)</f>
        <v>20</v>
      </c>
      <c r="D47">
        <f t="shared" si="12"/>
        <v>0</v>
      </c>
      <c r="E47">
        <f t="shared" si="12"/>
        <v>0</v>
      </c>
      <c r="F47">
        <f t="shared" si="12"/>
        <v>150</v>
      </c>
      <c r="G47">
        <f t="shared" si="12"/>
        <v>0</v>
      </c>
      <c r="H47">
        <f t="shared" si="12"/>
        <v>0</v>
      </c>
      <c r="I47">
        <f t="shared" si="12"/>
        <v>0</v>
      </c>
    </row>
    <row r="48" spans="1:9">
      <c r="A48" t="str">
        <f t="shared" si="0"/>
        <v>ETE-124</v>
      </c>
      <c r="B48">
        <f t="shared" si="1"/>
        <v>200</v>
      </c>
      <c r="C48">
        <f t="shared" ref="C48:I48" si="13">IF($A48="","",$B48*F18)</f>
        <v>20</v>
      </c>
      <c r="D48">
        <f t="shared" si="13"/>
        <v>50</v>
      </c>
      <c r="E48">
        <f t="shared" si="13"/>
        <v>150</v>
      </c>
      <c r="F48">
        <f t="shared" si="13"/>
        <v>0</v>
      </c>
      <c r="G48">
        <f t="shared" si="13"/>
        <v>0</v>
      </c>
      <c r="H48">
        <f t="shared" si="13"/>
        <v>0</v>
      </c>
      <c r="I48">
        <f t="shared" si="13"/>
        <v>0</v>
      </c>
    </row>
    <row r="49" spans="1:9">
      <c r="A49" s="183" t="s">
        <v>31</v>
      </c>
      <c r="B49" s="183">
        <f>SUM(B36:B48)</f>
        <v>4160</v>
      </c>
      <c r="C49" s="183">
        <f>SUM(C36:C48)</f>
        <v>416</v>
      </c>
      <c r="D49" s="183">
        <f>SUM(D36:D48)</f>
        <v>280</v>
      </c>
      <c r="E49" s="183">
        <f>SUM(E36:E48)</f>
        <v>722</v>
      </c>
      <c r="F49" s="183">
        <f>SUM(F36:F48)</f>
        <v>1016</v>
      </c>
      <c r="G49" s="183">
        <f>SUM(G36:G48)</f>
        <v>0</v>
      </c>
      <c r="H49" s="183">
        <f>SUM(H36:H48)</f>
        <v>0</v>
      </c>
      <c r="I49" s="183">
        <f>SUM(I36:I48)</f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2AE7A-E731-4B24-9D68-5B6377F614FB}">
  <dimension ref="A1:H37"/>
  <sheetViews>
    <sheetView topLeftCell="A7" workbookViewId="0">
      <selection activeCell="C25" sqref="C25"/>
    </sheetView>
  </sheetViews>
  <sheetFormatPr defaultRowHeight="15"/>
  <cols>
    <col min="1" max="1" width="36.140625" customWidth="1"/>
    <col min="2" max="2" width="18.140625" customWidth="1"/>
    <col min="3" max="3" width="32.5703125" customWidth="1"/>
    <col min="4" max="4" width="49.5703125" customWidth="1"/>
    <col min="5" max="5" width="22.85546875" customWidth="1"/>
    <col min="6" max="6" width="21" customWidth="1"/>
    <col min="7" max="7" width="18.140625" customWidth="1"/>
    <col min="8" max="8" width="26.7109375" customWidth="1"/>
  </cols>
  <sheetData>
    <row r="1" spans="1:8" ht="18.75">
      <c r="A1" s="174" t="s">
        <v>466</v>
      </c>
    </row>
    <row r="2" spans="1:8">
      <c r="A2" s="175" t="s">
        <v>467</v>
      </c>
    </row>
    <row r="4" spans="1:8">
      <c r="A4" s="177" t="s">
        <v>468</v>
      </c>
      <c r="B4" s="178"/>
      <c r="C4" s="178"/>
      <c r="D4" s="178"/>
      <c r="E4" s="178"/>
      <c r="F4" s="178"/>
      <c r="G4" s="178"/>
      <c r="H4" s="178"/>
    </row>
    <row r="5" spans="1:8">
      <c r="A5" s="202" t="s">
        <v>469</v>
      </c>
      <c r="B5" s="201"/>
      <c r="C5" s="202" t="s">
        <v>470</v>
      </c>
      <c r="D5" s="201"/>
      <c r="E5" s="202" t="s">
        <v>471</v>
      </c>
      <c r="F5" s="201"/>
      <c r="G5" s="202" t="s">
        <v>472</v>
      </c>
      <c r="H5" s="201"/>
    </row>
    <row r="6" spans="1:8" ht="26.25">
      <c r="A6" s="203">
        <f>RM_Assumptions!D41</f>
        <v>625.6</v>
      </c>
      <c r="C6" s="203">
        <f>RM_Demand!D31</f>
        <v>207.83333333333331</v>
      </c>
      <c r="E6" s="205">
        <f>A6-C6</f>
        <v>417.76666666666671</v>
      </c>
      <c r="G6" s="206">
        <f>IF(A6=0,0,C6/A6)</f>
        <v>0.33221440750213127</v>
      </c>
    </row>
    <row r="7" spans="1:8">
      <c r="A7" s="204" t="s">
        <v>473</v>
      </c>
      <c r="C7" s="204" t="s">
        <v>474</v>
      </c>
      <c r="E7" s="215" t="s">
        <v>475</v>
      </c>
      <c r="G7" s="204" t="s">
        <v>476</v>
      </c>
    </row>
    <row r="9" spans="1:8">
      <c r="A9" s="177" t="s">
        <v>477</v>
      </c>
      <c r="B9" s="178"/>
      <c r="C9" s="178"/>
      <c r="D9" s="178"/>
      <c r="E9" s="178"/>
      <c r="F9" s="178"/>
      <c r="G9" s="178"/>
      <c r="H9" s="178"/>
    </row>
    <row r="10" spans="1:8">
      <c r="A10" s="179" t="s">
        <v>54</v>
      </c>
      <c r="B10" s="179" t="s">
        <v>13</v>
      </c>
      <c r="C10" s="179" t="s">
        <v>455</v>
      </c>
      <c r="D10" s="179" t="s">
        <v>452</v>
      </c>
      <c r="E10" s="179" t="s">
        <v>454</v>
      </c>
      <c r="F10" s="179" t="s">
        <v>478</v>
      </c>
      <c r="G10" s="179" t="s">
        <v>479</v>
      </c>
      <c r="H10" s="179" t="s">
        <v>449</v>
      </c>
    </row>
    <row r="11" spans="1:8">
      <c r="A11" t="s">
        <v>431</v>
      </c>
      <c r="B11" s="198">
        <f>RM_Assumptions!B35</f>
        <v>4</v>
      </c>
      <c r="C11" s="207">
        <f>RM_Demand!E24</f>
        <v>116</v>
      </c>
      <c r="D11" s="208">
        <f>RM_Demand!B24</f>
        <v>416</v>
      </c>
      <c r="E11" s="207">
        <f>RM_Demand!D24</f>
        <v>34.666666666666664</v>
      </c>
      <c r="F11" s="199">
        <f>C11-E11</f>
        <v>81.333333333333343</v>
      </c>
      <c r="G11" s="185">
        <f>IF(C11=0,0,E11/C11)</f>
        <v>0.29885057471264365</v>
      </c>
      <c r="H11" t="str">
        <f>IF(F11&gt;20,"✅ OK",IF(F11&gt;0,"⚠️ TIGHT",IF(F11&gt;-10,"⚠️ NEAR LIMIT","🔴 OVER CAPACITY")))</f>
        <v>✅ OK</v>
      </c>
    </row>
    <row r="12" spans="1:8">
      <c r="A12" t="s">
        <v>432</v>
      </c>
      <c r="B12" s="198">
        <f>RM_Assumptions!B36</f>
        <v>2</v>
      </c>
      <c r="C12" s="207">
        <f>RM_Demand!E25</f>
        <v>56</v>
      </c>
      <c r="D12" s="208">
        <f>RM_Demand!B25</f>
        <v>280</v>
      </c>
      <c r="E12" s="207">
        <f>RM_Demand!D25</f>
        <v>23.333333333333332</v>
      </c>
      <c r="F12" s="199">
        <f>C12-E12</f>
        <v>32.666666666666671</v>
      </c>
      <c r="G12" s="185">
        <f>IF(C12=0,0,E12/C12)</f>
        <v>0.41666666666666663</v>
      </c>
      <c r="H12" t="str">
        <f>IF(F12&gt;20,"✅ OK",IF(F12&gt;0,"⚠️ TIGHT",IF(F12&gt;-10,"⚠️ NEAR LIMIT","🔴 OVER CAPACITY")))</f>
        <v>✅ OK</v>
      </c>
    </row>
    <row r="13" spans="1:8">
      <c r="A13" t="s">
        <v>433</v>
      </c>
      <c r="B13" s="198">
        <f>RM_Assumptions!B37</f>
        <v>5</v>
      </c>
      <c r="C13" s="207">
        <f>RM_Demand!E26</f>
        <v>140</v>
      </c>
      <c r="D13" s="208">
        <f>RM_Demand!B26</f>
        <v>722</v>
      </c>
      <c r="E13" s="207">
        <f>RM_Demand!D26</f>
        <v>60.166666666666664</v>
      </c>
      <c r="F13" s="199">
        <f>C13-E13</f>
        <v>79.833333333333343</v>
      </c>
      <c r="G13" s="185">
        <f>IF(C13=0,0,E13/C13)</f>
        <v>0.42976190476190473</v>
      </c>
      <c r="H13" t="str">
        <f>IF(F13&gt;20,"✅ OK",IF(F13&gt;0,"⚠️ TIGHT",IF(F13&gt;-10,"⚠️ NEAR LIMIT","🔴 OVER CAPACITY")))</f>
        <v>✅ OK</v>
      </c>
    </row>
    <row r="14" spans="1:8">
      <c r="A14" t="s">
        <v>82</v>
      </c>
      <c r="B14" s="198">
        <f>RM_Assumptions!B38</f>
        <v>4</v>
      </c>
      <c r="C14" s="207">
        <f>RM_Demand!E27</f>
        <v>80</v>
      </c>
      <c r="D14" s="208">
        <f>RM_Demand!B27</f>
        <v>1016</v>
      </c>
      <c r="E14" s="207">
        <f>RM_Demand!D27</f>
        <v>84.666666666666671</v>
      </c>
      <c r="F14" s="199">
        <f>C14-E14</f>
        <v>-4.6666666666666714</v>
      </c>
      <c r="G14" s="185">
        <f>IF(C14=0,0,E14/C14)</f>
        <v>1.0583333333333333</v>
      </c>
      <c r="H14" t="str">
        <f>IF(F14&gt;20,"✅ OK",IF(F14&gt;0,"⚠️ TIGHT",IF(F14&gt;-10,"⚠️ NEAR LIMIT","🔴 OVER CAPACITY")))</f>
        <v>⚠️ NEAR LIMIT</v>
      </c>
    </row>
    <row r="15" spans="1:8">
      <c r="A15" t="s">
        <v>26</v>
      </c>
      <c r="B15" s="198">
        <f>RM_Assumptions!B39</f>
        <v>3</v>
      </c>
      <c r="C15" s="207">
        <f>RM_Demand!E28</f>
        <v>96</v>
      </c>
      <c r="D15" s="208">
        <f>RM_Demand!B28</f>
        <v>0</v>
      </c>
      <c r="E15" s="207">
        <f>RM_Demand!D28</f>
        <v>0</v>
      </c>
      <c r="F15" s="199">
        <f>C15-E15</f>
        <v>96</v>
      </c>
      <c r="G15" s="185">
        <f>IF(C15=0,0,E15/C15)</f>
        <v>0</v>
      </c>
      <c r="H15" t="str">
        <f>IF(F15&gt;20,"✅ OK",IF(F15&gt;0,"⚠️ TIGHT",IF(F15&gt;-10,"⚠️ NEAR LIMIT","🔴 OVER CAPACITY")))</f>
        <v>✅ OK</v>
      </c>
    </row>
    <row r="16" spans="1:8">
      <c r="A16" t="s">
        <v>77</v>
      </c>
      <c r="B16" s="198">
        <f>RM_Assumptions!B34</f>
        <v>1</v>
      </c>
      <c r="C16" s="207">
        <f>RM_Demand!E29</f>
        <v>28</v>
      </c>
      <c r="D16" s="208">
        <f>RM_Demand!B29</f>
        <v>0</v>
      </c>
      <c r="E16" s="207">
        <f>RM_Demand!D29</f>
        <v>0</v>
      </c>
      <c r="F16" s="199">
        <f>C16-E16</f>
        <v>28</v>
      </c>
      <c r="G16" s="185">
        <f>IF(C16=0,0,E16/C16)</f>
        <v>0</v>
      </c>
      <c r="H16" t="str">
        <f>IF(F16&gt;20,"✅ OK",IF(F16&gt;0,"⚠️ TIGHT",IF(F16&gt;-10,"⚠️ NEAR LIMIT","🔴 OVER CAPACITY")))</f>
        <v>✅ OK</v>
      </c>
    </row>
    <row r="17" spans="1:8">
      <c r="A17" t="s">
        <v>112</v>
      </c>
      <c r="B17" s="198">
        <f>RM_Assumptions!B33</f>
        <v>3</v>
      </c>
      <c r="C17" s="207">
        <f>RM_Demand!E30</f>
        <v>81.600000000000009</v>
      </c>
      <c r="D17" s="208">
        <f>RM_Demand!B30</f>
        <v>60</v>
      </c>
      <c r="E17" s="207">
        <f>RM_Demand!D30</f>
        <v>5</v>
      </c>
      <c r="F17" s="199">
        <f>C17-E17</f>
        <v>76.600000000000009</v>
      </c>
      <c r="G17" s="185">
        <f>IF(C17=0,0,E17/C17)</f>
        <v>6.1274509803921559E-2</v>
      </c>
      <c r="H17" t="str">
        <f>IF(F17&gt;20,"✅ OK",IF(F17&gt;0,"⚠️ TIGHT",IF(F17&gt;-10,"⚠️ NEAR LIMIT","🔴 OVER CAPACITY")))</f>
        <v>✅ OK</v>
      </c>
    </row>
    <row r="18" spans="1:8">
      <c r="A18" s="183" t="s">
        <v>31</v>
      </c>
      <c r="B18" s="183">
        <f>SUM(B11:B17)</f>
        <v>22</v>
      </c>
      <c r="C18" s="200">
        <f>SUM(C11:C17)</f>
        <v>597.6</v>
      </c>
      <c r="D18" s="209">
        <f>SUM(D11:D17)</f>
        <v>2494</v>
      </c>
      <c r="E18" s="200">
        <f>SUM(E11:E17)</f>
        <v>207.83333333333331</v>
      </c>
      <c r="F18" s="200">
        <f>SUM(F11:F17)</f>
        <v>389.76666666666671</v>
      </c>
      <c r="G18" s="195">
        <f>IF(C18=0,0,E18/C18)</f>
        <v>0.34778000892458721</v>
      </c>
      <c r="H18" s="183"/>
    </row>
    <row r="20" spans="1:8">
      <c r="A20" s="177" t="s">
        <v>480</v>
      </c>
      <c r="B20" s="178"/>
      <c r="C20" s="178"/>
      <c r="D20" s="178"/>
    </row>
    <row r="21" spans="1:8">
      <c r="A21" s="179" t="s">
        <v>54</v>
      </c>
      <c r="B21" s="179" t="s">
        <v>479</v>
      </c>
      <c r="C21" s="179" t="s">
        <v>481</v>
      </c>
      <c r="D21" s="179" t="s">
        <v>482</v>
      </c>
    </row>
    <row r="22" spans="1:8">
      <c r="A22" t="str">
        <f>A11</f>
        <v>IT Business Analyst/SME</v>
      </c>
      <c r="B22" s="185">
        <f>G11</f>
        <v>0.29885057471264365</v>
      </c>
      <c r="C22" t="str">
        <f>REPT("█",MIN(ROUND(G11*20,0),20))&amp;REPT("░",MAX(20-ROUND(G11*20,0),0))</f>
        <v>██████░░░░░░░░░░░░░░</v>
      </c>
      <c r="D22" t="str">
        <f>IF(G11&gt;1,"⚠️ OVER — need "&amp;TEXT(E11-C11,"0.0")&amp;" more hrs/wk",IF(G11&gt;0.8,"🟡 HIGH — "&amp;TEXT(C11-E11,"0.0")&amp;" hrs/wk buffer",IF(G11&gt;0,"🟢 OK — "&amp;TEXT(C11-E11,"0.0")&amp;" hrs/wk available","⚪ No demand")))</f>
        <v>🟢 OK — 81.3 hrs/wk available</v>
      </c>
    </row>
    <row r="23" spans="1:8">
      <c r="A23" t="str">
        <f>A12</f>
        <v>IT Functional Analyst</v>
      </c>
      <c r="B23" s="185">
        <f>G12</f>
        <v>0.41666666666666663</v>
      </c>
      <c r="C23" t="str">
        <f>REPT("█",MIN(ROUND(G12*20,0),20))&amp;REPT("░",MAX(20-ROUND(G12*20,0),0))</f>
        <v>████████░░░░░░░░░░░░</v>
      </c>
      <c r="D23" t="str">
        <f>IF(G12&gt;1,"⚠️ OVER — need "&amp;TEXT(E12-C12,"0.0")&amp;" more hrs/wk",IF(G12&gt;0.8,"🟡 HIGH — "&amp;TEXT(C12-E12,"0.0")&amp;" hrs/wk buffer",IF(G12&gt;0,"🟢 OK — "&amp;TEXT(C12-E12,"0.0")&amp;" hrs/wk available","⚪ No demand")))</f>
        <v>🟢 OK — 32.7 hrs/wk available</v>
      </c>
    </row>
    <row r="24" spans="1:8">
      <c r="A24" t="str">
        <f>A13</f>
        <v>IT Tech Analyst/Developer</v>
      </c>
      <c r="B24" s="185">
        <f>G13</f>
        <v>0.42976190476190473</v>
      </c>
      <c r="C24" t="str">
        <f>REPT("█",MIN(ROUND(G13*20,0),20))&amp;REPT("░",MAX(20-ROUND(G13*20,0),0))</f>
        <v>█████████░░░░░░░░░░░</v>
      </c>
      <c r="D24" t="str">
        <f>IF(G13&gt;1,"⚠️ OVER — need "&amp;TEXT(E13-C13,"0.0")&amp;" more hrs/wk",IF(G13&gt;0.8,"🟡 HIGH — "&amp;TEXT(C13-E13,"0.0")&amp;" hrs/wk buffer",IF(G13&gt;0,"🟢 OK — "&amp;TEXT(C13-E13,"0.0")&amp;" hrs/wk available","⚪ No demand")))</f>
        <v>🟢 OK — 79.8 hrs/wk available</v>
      </c>
    </row>
    <row r="25" spans="1:8">
      <c r="A25" t="str">
        <f>A14</f>
        <v>Developer</v>
      </c>
      <c r="B25" s="185">
        <f>G14</f>
        <v>1.0583333333333333</v>
      </c>
      <c r="C25" t="str">
        <f>REPT("█",MIN(ROUND(G14*20,0),20))&amp;REPT("░",MAX(20-ROUND(G14*20,0),0))</f>
        <v>████████████████████</v>
      </c>
      <c r="D25" t="str">
        <f>IF(G14&gt;1,"⚠️ OVER — need "&amp;TEXT(E14-C14,"0.0")&amp;" more hrs/wk",IF(G14&gt;0.8,"🟡 HIGH — "&amp;TEXT(C14-E14,"0.0")&amp;" hrs/wk buffer",IF(G14&gt;0,"🟢 OK — "&amp;TEXT(C14-E14,"0.0")&amp;" hrs/wk available","⚪ No demand")))</f>
        <v>⚠️ OVER — need 4.7 more hrs/wk</v>
      </c>
    </row>
    <row r="26" spans="1:8">
      <c r="A26" t="str">
        <f>A15</f>
        <v>Infrastructure</v>
      </c>
      <c r="B26" s="185">
        <f>G15</f>
        <v>0</v>
      </c>
      <c r="C26" t="str">
        <f>REPT("█",MIN(ROUND(G15*20,0),20))&amp;REPT("░",MAX(20-ROUND(G15*20,0),0))</f>
        <v>░░░░░░░░░░░░░░░░░░░░</v>
      </c>
      <c r="D26" t="str">
        <f>IF(G15&gt;1,"⚠️ OVER — need "&amp;TEXT(E15-C15,"0.0")&amp;" more hrs/wk",IF(G15&gt;0.8,"🟡 HIGH — "&amp;TEXT(C15-E15,"0.0")&amp;" hrs/wk buffer",IF(G15&gt;0,"🟢 OK — "&amp;TEXT(C15-E15,"0.0")&amp;" hrs/wk available","⚪ No demand")))</f>
        <v>⚪ No demand</v>
      </c>
    </row>
    <row r="27" spans="1:8">
      <c r="A27" t="str">
        <f>A16</f>
        <v>DBA</v>
      </c>
      <c r="B27" s="185">
        <f>G16</f>
        <v>0</v>
      </c>
      <c r="C27" t="str">
        <f>REPT("█",MIN(ROUND(G16*20,0),20))&amp;REPT("░",MAX(20-ROUND(G16*20,0),0))</f>
        <v>░░░░░░░░░░░░░░░░░░░░</v>
      </c>
      <c r="D27" t="str">
        <f>IF(G16&gt;1,"⚠️ OVER — need "&amp;TEXT(E16-C16,"0.0")&amp;" more hrs/wk",IF(G16&gt;0.8,"🟡 HIGH — "&amp;TEXT(C16-E16,"0.0")&amp;" hrs/wk buffer",IF(G16&gt;0,"🟢 OK — "&amp;TEXT(C16-E16,"0.0")&amp;" hrs/wk available","⚪ No demand")))</f>
        <v>⚪ No demand</v>
      </c>
    </row>
    <row r="28" spans="1:8">
      <c r="A28" t="str">
        <f>A17</f>
        <v>PM</v>
      </c>
      <c r="B28" s="185">
        <f>G17</f>
        <v>6.1274509803921559E-2</v>
      </c>
      <c r="C28" t="str">
        <f>REPT("█",MIN(ROUND(G17*20,0),20))&amp;REPT("░",MAX(20-ROUND(G17*20,0),0))</f>
        <v>█░░░░░░░░░░░░░░░░░░░</v>
      </c>
      <c r="D28" t="str">
        <f>IF(G17&gt;1,"⚠️ OVER — need "&amp;TEXT(E17-C17,"0.0")&amp;" more hrs/wk",IF(G17&gt;0.8,"🟡 HIGH — "&amp;TEXT(C17-E17,"0.0")&amp;" hrs/wk buffer",IF(G17&gt;0,"🟢 OK — "&amp;TEXT(C17-E17,"0.0")&amp;" hrs/wk available","⚪ No demand")))</f>
        <v>🟢 OK — 76.6 hrs/wk available</v>
      </c>
    </row>
    <row r="31" spans="1:8">
      <c r="A31" s="177" t="s">
        <v>483</v>
      </c>
      <c r="B31" s="178"/>
      <c r="C31" s="178"/>
      <c r="D31" s="178"/>
    </row>
    <row r="32" spans="1:8">
      <c r="A32" s="179" t="s">
        <v>484</v>
      </c>
      <c r="B32" s="179" t="s">
        <v>485</v>
      </c>
      <c r="C32" s="179" t="s">
        <v>486</v>
      </c>
      <c r="D32" s="179" t="s">
        <v>487</v>
      </c>
    </row>
    <row r="33" spans="1:4">
      <c r="A33" t="s">
        <v>488</v>
      </c>
      <c r="B33" s="210">
        <v>29504</v>
      </c>
      <c r="C33" t="s">
        <v>489</v>
      </c>
      <c r="D33" s="180" t="s">
        <v>490</v>
      </c>
    </row>
    <row r="34" spans="1:4">
      <c r="A34" t="s">
        <v>491</v>
      </c>
      <c r="B34" t="s">
        <v>492</v>
      </c>
      <c r="C34" t="s">
        <v>493</v>
      </c>
      <c r="D34" s="180" t="s">
        <v>494</v>
      </c>
    </row>
    <row r="35" spans="1:4">
      <c r="A35" t="s">
        <v>495</v>
      </c>
      <c r="B35" t="s">
        <v>496</v>
      </c>
      <c r="C35" t="s">
        <v>497</v>
      </c>
      <c r="D35" s="180" t="s">
        <v>498</v>
      </c>
    </row>
    <row r="36" spans="1:4">
      <c r="A36" t="s">
        <v>13</v>
      </c>
      <c r="B36" t="s">
        <v>499</v>
      </c>
      <c r="C36" t="s">
        <v>500</v>
      </c>
      <c r="D36" s="180" t="s">
        <v>501</v>
      </c>
    </row>
    <row r="37" spans="1:4">
      <c r="A37" t="s">
        <v>502</v>
      </c>
      <c r="B37" t="s">
        <v>503</v>
      </c>
      <c r="C37" t="s">
        <v>504</v>
      </c>
      <c r="D37" s="180" t="s">
        <v>505</v>
      </c>
    </row>
  </sheetData>
  <conditionalFormatting sqref="F11:F17">
    <cfRule type="cellIs" dxfId="37" priority="1" operator="greaterThan">
      <formula>0</formula>
    </cfRule>
  </conditionalFormatting>
  <conditionalFormatting sqref="F11:F17">
    <cfRule type="cellIs" dxfId="36" priority="2" operator="lessThan">
      <formula>0</formula>
    </cfRule>
  </conditionalFormatting>
  <conditionalFormatting sqref="G11:G17">
    <cfRule type="colorScale" priority="3">
      <colorScale>
        <cfvo type="min"/>
        <cfvo type="num" val="0.7"/>
        <cfvo type="num" val="1"/>
        <color rgb="FFC6EFCE"/>
        <color rgb="FFFFEB9C"/>
        <color rgb="FFFFC7CE"/>
      </colorScale>
    </cfRule>
  </conditionalFormatting>
  <conditionalFormatting sqref="E6">
    <cfRule type="cellIs" dxfId="35" priority="4" operator="greaterThanOrEqual">
      <formula>0</formula>
    </cfRule>
  </conditionalFormatting>
  <conditionalFormatting sqref="E6">
    <cfRule type="cellIs" dxfId="34" priority="5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0B10-0429-4335-9420-5A576AC1DDBA}">
  <dimension ref="A1:Q48"/>
  <sheetViews>
    <sheetView topLeftCell="A26" workbookViewId="0"/>
  </sheetViews>
  <sheetFormatPr defaultRowHeight="15"/>
  <cols>
    <col min="1" max="1" width="24" customWidth="1"/>
    <col min="2" max="2" width="39.7109375" customWidth="1"/>
    <col min="3" max="6" width="17.140625" customWidth="1"/>
    <col min="7" max="17" width="10.42578125" customWidth="1"/>
  </cols>
  <sheetData>
    <row r="1" spans="1:13" ht="18.75">
      <c r="A1" s="174" t="s">
        <v>506</v>
      </c>
    </row>
    <row r="2" spans="1:13">
      <c r="A2" s="175" t="s">
        <v>507</v>
      </c>
    </row>
    <row r="4" spans="1:13">
      <c r="A4" s="177" t="s">
        <v>508</v>
      </c>
      <c r="B4" s="178"/>
      <c r="C4" s="178"/>
      <c r="D4" s="178"/>
      <c r="E4" s="178"/>
      <c r="F4" s="178"/>
    </row>
    <row r="5" spans="1:13">
      <c r="A5" s="179" t="s">
        <v>54</v>
      </c>
      <c r="B5" s="179" t="s">
        <v>509</v>
      </c>
      <c r="C5" s="179" t="s">
        <v>510</v>
      </c>
      <c r="D5" s="179" t="s">
        <v>511</v>
      </c>
      <c r="E5" s="179" t="s">
        <v>512</v>
      </c>
      <c r="F5" s="179" t="s">
        <v>513</v>
      </c>
    </row>
    <row r="6" spans="1:13">
      <c r="A6" t="s">
        <v>431</v>
      </c>
      <c r="B6" s="198">
        <f>RM_Assumptions!B35</f>
        <v>4</v>
      </c>
      <c r="C6" s="181">
        <v>0</v>
      </c>
      <c r="D6">
        <f>B6+C6</f>
        <v>4</v>
      </c>
      <c r="E6" s="198">
        <f>RM_Assumptions!$B$10</f>
        <v>32</v>
      </c>
      <c r="F6" s="176">
        <f>D6*E6</f>
        <v>128</v>
      </c>
    </row>
    <row r="7" spans="1:13">
      <c r="A7" t="s">
        <v>432</v>
      </c>
      <c r="B7" s="198">
        <f>RM_Assumptions!B36</f>
        <v>2</v>
      </c>
      <c r="C7" s="181">
        <v>0</v>
      </c>
      <c r="D7">
        <f>B7+C7</f>
        <v>2</v>
      </c>
      <c r="E7" s="198">
        <f>RM_Assumptions!$B$10</f>
        <v>32</v>
      </c>
      <c r="F7" s="176">
        <f>D7*E7</f>
        <v>64</v>
      </c>
    </row>
    <row r="8" spans="1:13">
      <c r="A8" t="s">
        <v>433</v>
      </c>
      <c r="B8" s="198">
        <f>RM_Assumptions!B37</f>
        <v>5</v>
      </c>
      <c r="C8" s="181">
        <v>0</v>
      </c>
      <c r="D8">
        <f>B8+C8</f>
        <v>5</v>
      </c>
      <c r="E8" s="198">
        <f>RM_Assumptions!$B$10</f>
        <v>32</v>
      </c>
      <c r="F8" s="176">
        <f>D8*E8</f>
        <v>160</v>
      </c>
    </row>
    <row r="9" spans="1:13">
      <c r="A9" t="s">
        <v>82</v>
      </c>
      <c r="B9" s="198">
        <f>RM_Assumptions!B38</f>
        <v>4</v>
      </c>
      <c r="C9" s="181">
        <v>0</v>
      </c>
      <c r="D9">
        <f>B9+C9</f>
        <v>4</v>
      </c>
      <c r="E9" s="198">
        <f>RM_Assumptions!$B$10</f>
        <v>32</v>
      </c>
      <c r="F9" s="176">
        <f>D9*E9</f>
        <v>128</v>
      </c>
    </row>
    <row r="10" spans="1:13">
      <c r="A10" t="s">
        <v>26</v>
      </c>
      <c r="B10" s="198">
        <f>RM_Assumptions!B39</f>
        <v>3</v>
      </c>
      <c r="C10" s="181">
        <v>0</v>
      </c>
      <c r="D10">
        <f>B10+C10</f>
        <v>3</v>
      </c>
      <c r="E10" s="198">
        <f>RM_Assumptions!$B$10</f>
        <v>32</v>
      </c>
      <c r="F10" s="176">
        <f>D10*E10</f>
        <v>96</v>
      </c>
    </row>
    <row r="11" spans="1:13">
      <c r="A11" t="s">
        <v>77</v>
      </c>
      <c r="B11" s="198">
        <f>RM_Assumptions!B34</f>
        <v>1</v>
      </c>
      <c r="C11" s="181">
        <v>0</v>
      </c>
      <c r="D11">
        <f>B11+C11</f>
        <v>1</v>
      </c>
      <c r="E11" s="198">
        <f>RM_Assumptions!$B$10</f>
        <v>32</v>
      </c>
      <c r="F11" s="176">
        <f>D11*E11</f>
        <v>32</v>
      </c>
    </row>
    <row r="12" spans="1:13">
      <c r="A12" t="s">
        <v>112</v>
      </c>
      <c r="B12" s="198">
        <f>RM_Assumptions!B33</f>
        <v>3</v>
      </c>
      <c r="C12" s="181">
        <v>0</v>
      </c>
      <c r="D12">
        <f>B12+C12</f>
        <v>3</v>
      </c>
      <c r="E12" s="198">
        <f>RM_Assumptions!$B$10</f>
        <v>32</v>
      </c>
      <c r="F12" s="176">
        <f>D12*E12</f>
        <v>96</v>
      </c>
    </row>
    <row r="13" spans="1:13">
      <c r="A13" s="183" t="s">
        <v>31</v>
      </c>
      <c r="B13" s="183">
        <f>SUM(B6:B12)</f>
        <v>22</v>
      </c>
      <c r="C13" s="183">
        <f>SUM(C6:C12)</f>
        <v>0</v>
      </c>
      <c r="D13" s="183">
        <f>SUM(D6:D12)</f>
        <v>22</v>
      </c>
      <c r="E13" s="183"/>
      <c r="F13" s="183">
        <f>SUM(F6:F12)</f>
        <v>704</v>
      </c>
    </row>
    <row r="15" spans="1:13">
      <c r="A15" s="177" t="s">
        <v>514</v>
      </c>
      <c r="B15" s="178"/>
      <c r="C15" s="178"/>
      <c r="D15" s="178"/>
      <c r="E15" s="178"/>
      <c r="F15" s="178"/>
      <c r="G15" s="178"/>
      <c r="H15" s="178"/>
      <c r="I15" s="178"/>
      <c r="J15" s="178"/>
      <c r="K15" s="178"/>
      <c r="L15" s="178"/>
      <c r="M15" s="178"/>
    </row>
    <row r="16" spans="1:13">
      <c r="A16" s="179" t="s">
        <v>250</v>
      </c>
      <c r="B16" s="179" t="s">
        <v>103</v>
      </c>
      <c r="C16" s="179" t="s">
        <v>115</v>
      </c>
      <c r="D16" s="179" t="s">
        <v>515</v>
      </c>
      <c r="E16" s="179" t="s">
        <v>516</v>
      </c>
      <c r="F16" s="179" t="s">
        <v>517</v>
      </c>
      <c r="G16" s="179" t="s">
        <v>117</v>
      </c>
      <c r="H16" s="179" t="s">
        <v>518</v>
      </c>
      <c r="I16" s="179" t="s">
        <v>519</v>
      </c>
      <c r="J16" s="179" t="s">
        <v>520</v>
      </c>
      <c r="K16" s="179" t="s">
        <v>521</v>
      </c>
      <c r="L16" s="179" t="s">
        <v>122</v>
      </c>
      <c r="M16" s="179" t="s">
        <v>123</v>
      </c>
    </row>
    <row r="17" spans="1:17">
      <c r="A17" t="str">
        <f>RM_Demand!A6</f>
        <v>ETE-83</v>
      </c>
      <c r="B17" t="str">
        <f>RM_Demand!B6</f>
        <v>Customer Master Data Cleanup</v>
      </c>
      <c r="C17">
        <f>RM_Demand!E6</f>
        <v>1480</v>
      </c>
      <c r="D17" s="211">
        <f ca="1">IF(IFERROR(INDEX('Project Portfolio'!I$4:I$42,MATCH(A17,'Project Portfolio'!A$4:A$42,0)),0)=0,IF(A17="","",TODAY()),INDEX('Project Portfolio'!I$4:I$42,MATCH(A17,'Project Portfolio'!A$4:A$42,0)))</f>
        <v>45944</v>
      </c>
      <c r="E17" s="211">
        <f>IF(IFERROR(INDEX('Project Portfolio'!J$4:J$42,MATCH(A17,'Project Portfolio'!A$4:A$42,0)),0)=0,IF(A17="","",D17+84),INDEX('Project Portfolio'!J$4:J$42,MATCH(A17,'Project Portfolio'!A$4:A$42,0)))</f>
        <v>46174</v>
      </c>
      <c r="F17" s="199">
        <f ca="1">IF(E17&gt;D17,MAX((E17-D17)/7,1),12)</f>
        <v>32.857142857142854</v>
      </c>
      <c r="G17" s="185">
        <f>RM_Demand!F6</f>
        <v>0.1</v>
      </c>
      <c r="H17" s="185">
        <f>RM_Demand!G6</f>
        <v>0</v>
      </c>
      <c r="I17" s="185">
        <f>RM_Demand!H6</f>
        <v>0</v>
      </c>
      <c r="J17" s="185">
        <f>RM_Demand!I6</f>
        <v>0</v>
      </c>
      <c r="K17" s="185">
        <f>RM_Demand!J6</f>
        <v>0</v>
      </c>
      <c r="L17" s="185">
        <f>RM_Demand!K6</f>
        <v>0</v>
      </c>
      <c r="M17" s="185">
        <f>RM_Demand!L6</f>
        <v>0</v>
      </c>
    </row>
    <row r="18" spans="1:17">
      <c r="A18" t="str">
        <f>RM_Demand!A7</f>
        <v>ETE-48</v>
      </c>
      <c r="B18" t="str">
        <f>RM_Demand!B7</f>
        <v>System Connection Syteline-VKS</v>
      </c>
      <c r="C18">
        <f>RM_Demand!E7</f>
        <v>240</v>
      </c>
      <c r="D18" s="211">
        <f ca="1">IF(IFERROR(INDEX('Project Portfolio'!I$4:I$42,MATCH(A18,'Project Portfolio'!A$4:A$42,0)),0)=0,IF(A18="","",TODAY()),INDEX('Project Portfolio'!I$4:I$42,MATCH(A18,'Project Portfolio'!A$4:A$42,0)))</f>
        <v>46068</v>
      </c>
      <c r="E18" s="211">
        <f>IF(IFERROR(INDEX('Project Portfolio'!J$4:J$42,MATCH(A18,'Project Portfolio'!A$4:A$42,0)),0)=0,IF(A18="","",D18+84),INDEX('Project Portfolio'!J$4:J$42,MATCH(A18,'Project Portfolio'!A$4:A$42,0)))</f>
        <v>46203</v>
      </c>
      <c r="F18" s="199">
        <f t="shared" ref="F18:F29" ca="1" si="0">IF(E18&gt;D18,MAX((E18-D18)/7,1),12)</f>
        <v>19.285714285714285</v>
      </c>
      <c r="G18" s="185">
        <f>RM_Demand!F7</f>
        <v>0.1</v>
      </c>
      <c r="H18" s="185">
        <f>RM_Demand!G7</f>
        <v>0</v>
      </c>
      <c r="I18" s="185">
        <f>RM_Demand!H7</f>
        <v>0</v>
      </c>
      <c r="J18" s="185">
        <f>RM_Demand!I7</f>
        <v>0</v>
      </c>
      <c r="K18" s="185">
        <f>RM_Demand!J7</f>
        <v>0</v>
      </c>
      <c r="L18" s="185">
        <f>RM_Demand!K7</f>
        <v>0</v>
      </c>
      <c r="M18" s="185">
        <f>RM_Demand!L7</f>
        <v>0.25</v>
      </c>
    </row>
    <row r="19" spans="1:17">
      <c r="A19" t="str">
        <f>RM_Demand!A8</f>
        <v>ETE-68</v>
      </c>
      <c r="B19" t="str">
        <f>RM_Demand!B8</f>
        <v>Catalog API Rust2Python</v>
      </c>
      <c r="C19">
        <f>RM_Demand!E8</f>
        <v>640</v>
      </c>
      <c r="D19" s="211">
        <f ca="1">IF(IFERROR(INDEX('Project Portfolio'!I$4:I$42,MATCH(A19,'Project Portfolio'!A$4:A$42,0)),0)=0,IF(A19="","",TODAY()),INDEX('Project Portfolio'!I$4:I$42,MATCH(A19,'Project Portfolio'!A$4:A$42,0)))</f>
        <v>45978</v>
      </c>
      <c r="E19" s="211">
        <f>IF(IFERROR(INDEX('Project Portfolio'!J$4:J$42,MATCH(A19,'Project Portfolio'!A$4:A$42,0)),0)=0,IF(A19="","",D19+84),INDEX('Project Portfolio'!J$4:J$42,MATCH(A19,'Project Portfolio'!A$4:A$42,0)))</f>
        <v>46136</v>
      </c>
      <c r="F19" s="199">
        <f t="shared" ca="1" si="0"/>
        <v>22.571428571428573</v>
      </c>
      <c r="G19" s="185">
        <f>RM_Demand!F8</f>
        <v>0.1</v>
      </c>
      <c r="H19" s="185">
        <f>RM_Demand!G8</f>
        <v>0</v>
      </c>
      <c r="I19" s="185">
        <f>RM_Demand!H8</f>
        <v>0</v>
      </c>
      <c r="J19" s="185">
        <f>RM_Demand!I8</f>
        <v>0.75</v>
      </c>
      <c r="K19" s="185">
        <f>RM_Demand!J8</f>
        <v>0</v>
      </c>
      <c r="L19" s="185">
        <f>RM_Demand!K8</f>
        <v>0</v>
      </c>
      <c r="M19" s="185">
        <f>RM_Demand!L8</f>
        <v>0</v>
      </c>
    </row>
    <row r="20" spans="1:17">
      <c r="A20" t="str">
        <f>RM_Demand!A9</f>
        <v>ETE-43</v>
      </c>
      <c r="B20" t="str">
        <f>RM_Demand!B9</f>
        <v>Data Security - Microsoft Purview</v>
      </c>
      <c r="C20">
        <f>RM_Demand!E9</f>
        <v>0</v>
      </c>
      <c r="D20" s="211">
        <f ca="1">IF(IFERROR(INDEX('Project Portfolio'!I$4:I$42,MATCH(A20,'Project Portfolio'!A$4:A$42,0)),0)=0,IF(A20="","",TODAY()),INDEX('Project Portfolio'!I$4:I$42,MATCH(A20,'Project Portfolio'!A$4:A$42,0)))</f>
        <v>46055</v>
      </c>
      <c r="E20" s="211">
        <f>IF(IFERROR(INDEX('Project Portfolio'!J$4:J$42,MATCH(A20,'Project Portfolio'!A$4:A$42,0)),0)=0,IF(A20="","",D20+84),INDEX('Project Portfolio'!J$4:J$42,MATCH(A20,'Project Portfolio'!A$4:A$42,0)))</f>
        <v>46203</v>
      </c>
      <c r="F20" s="199">
        <f t="shared" ca="1" si="0"/>
        <v>21.142857142857142</v>
      </c>
      <c r="G20" s="185">
        <f>RM_Demand!F9</f>
        <v>0.1</v>
      </c>
      <c r="H20" s="185">
        <f>RM_Demand!G9</f>
        <v>0</v>
      </c>
      <c r="I20" s="185">
        <f>RM_Demand!H9</f>
        <v>0</v>
      </c>
      <c r="J20" s="185">
        <f>RM_Demand!I9</f>
        <v>0</v>
      </c>
      <c r="K20" s="185">
        <f>RM_Demand!J9</f>
        <v>0</v>
      </c>
      <c r="L20" s="185">
        <f>RM_Demand!K9</f>
        <v>0</v>
      </c>
      <c r="M20" s="185">
        <f>RM_Demand!L9</f>
        <v>0</v>
      </c>
    </row>
    <row r="21" spans="1:17">
      <c r="A21" t="str">
        <f>RM_Demand!A10</f>
        <v>ETE-19</v>
      </c>
      <c r="B21" t="str">
        <f>RM_Demand!B10</f>
        <v>Changes to AR Aging Report</v>
      </c>
      <c r="C21">
        <f>RM_Demand!E10</f>
        <v>120</v>
      </c>
      <c r="D21" s="211">
        <f ca="1">IF(IFERROR(INDEX('Project Portfolio'!I$4:I$42,MATCH(A21,'Project Portfolio'!A$4:A$42,0)),0)=0,IF(A21="","",TODAY()),INDEX('Project Portfolio'!I$4:I$42,MATCH(A21,'Project Portfolio'!A$4:A$42,0)))</f>
        <v>46076</v>
      </c>
      <c r="E21" s="211">
        <f>IF(IFERROR(INDEX('Project Portfolio'!J$4:J$42,MATCH(A21,'Project Portfolio'!A$4:A$42,0)),0)=0,IF(A21="","",D21+84),INDEX('Project Portfolio'!J$4:J$42,MATCH(A21,'Project Portfolio'!A$4:A$42,0)))</f>
        <v>46129</v>
      </c>
      <c r="F21" s="199">
        <f t="shared" ca="1" si="0"/>
        <v>7.5714285714285712</v>
      </c>
      <c r="G21" s="185">
        <f>RM_Demand!F10</f>
        <v>0.1</v>
      </c>
      <c r="H21" s="185">
        <f>RM_Demand!G10</f>
        <v>0.25</v>
      </c>
      <c r="I21" s="185">
        <f>RM_Demand!H10</f>
        <v>0.65</v>
      </c>
      <c r="J21" s="185">
        <f>RM_Demand!I10</f>
        <v>0</v>
      </c>
      <c r="K21" s="185">
        <f>RM_Demand!J10</f>
        <v>0</v>
      </c>
      <c r="L21" s="185">
        <f>RM_Demand!K10</f>
        <v>0</v>
      </c>
      <c r="M21" s="185">
        <f>RM_Demand!L10</f>
        <v>0</v>
      </c>
    </row>
    <row r="22" spans="1:17">
      <c r="A22" t="str">
        <f>RM_Demand!A11</f>
        <v>ETE-49</v>
      </c>
      <c r="B22" t="str">
        <f>RM_Demand!B11</f>
        <v>Marketing: STE Rewards Tier</v>
      </c>
      <c r="C22">
        <f>RM_Demand!E11</f>
        <v>240</v>
      </c>
      <c r="D22" s="211">
        <f ca="1">IF(IFERROR(INDEX('Project Portfolio'!I$4:I$42,MATCH(A22,'Project Portfolio'!A$4:A$42,0)),0)=0,IF(A22="","",TODAY()),INDEX('Project Portfolio'!I$4:I$42,MATCH(A22,'Project Portfolio'!A$4:A$42,0)))</f>
        <v>46109</v>
      </c>
      <c r="E22" s="211">
        <f ca="1">IF(IFERROR(INDEX('Project Portfolio'!J$4:J$42,MATCH(A22,'Project Portfolio'!A$4:A$42,0)),0)=0,IF(A22="","",D22+84),INDEX('Project Portfolio'!J$4:J$42,MATCH(A22,'Project Portfolio'!A$4:A$42,0)))</f>
        <v>46193</v>
      </c>
      <c r="F22" s="199">
        <f t="shared" ca="1" si="0"/>
        <v>12</v>
      </c>
      <c r="G22" s="185">
        <f>RM_Demand!F11</f>
        <v>0.1</v>
      </c>
      <c r="H22" s="185">
        <f>RM_Demand!G11</f>
        <v>0</v>
      </c>
      <c r="I22" s="185">
        <f>RM_Demand!H11</f>
        <v>0</v>
      </c>
      <c r="J22" s="185">
        <f>RM_Demand!I11</f>
        <v>0.75</v>
      </c>
      <c r="K22" s="185">
        <f>RM_Demand!J11</f>
        <v>0</v>
      </c>
      <c r="L22" s="185">
        <f>RM_Demand!K11</f>
        <v>0</v>
      </c>
      <c r="M22" s="185">
        <f>RM_Demand!L11</f>
        <v>0</v>
      </c>
    </row>
    <row r="23" spans="1:17">
      <c r="A23" t="str">
        <f>RM_Demand!A12</f>
        <v>ETE-7</v>
      </c>
      <c r="B23" t="str">
        <f>RM_Demand!B12</f>
        <v>Outsourced Unit Core Accounting</v>
      </c>
      <c r="C23">
        <f>RM_Demand!E12</f>
        <v>640</v>
      </c>
      <c r="D23" s="211">
        <f ca="1">IF(IFERROR(INDEX('Project Portfolio'!I$4:I$42,MATCH(A23,'Project Portfolio'!A$4:A$42,0)),0)=0,IF(A23="","",TODAY()),INDEX('Project Portfolio'!I$4:I$42,MATCH(A23,'Project Portfolio'!A$4:A$42,0)))</f>
        <v>46109</v>
      </c>
      <c r="E23" s="211">
        <f ca="1">IF(IFERROR(INDEX('Project Portfolio'!J$4:J$42,MATCH(A23,'Project Portfolio'!A$4:A$42,0)),0)=0,IF(A23="","",D23+84),INDEX('Project Portfolio'!J$4:J$42,MATCH(A23,'Project Portfolio'!A$4:A$42,0)))</f>
        <v>46193</v>
      </c>
      <c r="F23" s="199">
        <f t="shared" ca="1" si="0"/>
        <v>12</v>
      </c>
      <c r="G23" s="185">
        <f>RM_Demand!F12</f>
        <v>0.1</v>
      </c>
      <c r="H23" s="185">
        <f>RM_Demand!G12</f>
        <v>0.25</v>
      </c>
      <c r="I23" s="185">
        <f>RM_Demand!H12</f>
        <v>0.65</v>
      </c>
      <c r="J23" s="185">
        <f>RM_Demand!I12</f>
        <v>0</v>
      </c>
      <c r="K23" s="185">
        <f>RM_Demand!J12</f>
        <v>0</v>
      </c>
      <c r="L23" s="185">
        <f>RM_Demand!K12</f>
        <v>0</v>
      </c>
      <c r="M23" s="185">
        <f>RM_Demand!L12</f>
        <v>0</v>
      </c>
    </row>
    <row r="24" spans="1:17">
      <c r="A24" t="str">
        <f>RM_Demand!A13</f>
        <v>ETE-52</v>
      </c>
      <c r="B24" t="str">
        <f>RM_Demand!B13</f>
        <v>SWIMS/Syteline Reporting</v>
      </c>
      <c r="C24">
        <f>RM_Demand!E13</f>
        <v>40</v>
      </c>
      <c r="D24" s="211">
        <f ca="1">IF(IFERROR(INDEX('Project Portfolio'!I$4:I$42,MATCH(A24,'Project Portfolio'!A$4:A$42,0)),0)=0,IF(A24="","",TODAY()),INDEX('Project Portfolio'!I$4:I$42,MATCH(A24,'Project Portfolio'!A$4:A$42,0)))</f>
        <v>46109</v>
      </c>
      <c r="E24" s="211">
        <f ca="1">IF(IFERROR(INDEX('Project Portfolio'!J$4:J$42,MATCH(A24,'Project Portfolio'!A$4:A$42,0)),0)=0,IF(A24="","",D24+84),INDEX('Project Portfolio'!J$4:J$42,MATCH(A24,'Project Portfolio'!A$4:A$42,0)))</f>
        <v>46193</v>
      </c>
      <c r="F24" s="199">
        <f t="shared" ca="1" si="0"/>
        <v>12</v>
      </c>
      <c r="G24" s="185">
        <f>RM_Demand!F13</f>
        <v>0.1</v>
      </c>
      <c r="H24" s="185">
        <f>RM_Demand!G13</f>
        <v>0</v>
      </c>
      <c r="I24" s="185">
        <f>RM_Demand!H13</f>
        <v>0</v>
      </c>
      <c r="J24" s="185">
        <f>RM_Demand!I13</f>
        <v>0.75</v>
      </c>
      <c r="K24" s="185">
        <f>RM_Demand!J13</f>
        <v>0</v>
      </c>
      <c r="L24" s="185">
        <f>RM_Demand!K13</f>
        <v>0</v>
      </c>
      <c r="M24" s="185">
        <f>RM_Demand!L13</f>
        <v>0</v>
      </c>
    </row>
    <row r="25" spans="1:17">
      <c r="A25" t="str">
        <f>RM_Demand!A14</f>
        <v>ETE-16</v>
      </c>
      <c r="B25" t="str">
        <f>RM_Demand!B14</f>
        <v>Partial Pay w/ CC from WMERP</v>
      </c>
      <c r="C25">
        <f>RM_Demand!E14</f>
        <v>120</v>
      </c>
      <c r="D25" s="211">
        <f ca="1">IF(IFERROR(INDEX('Project Portfolio'!I$4:I$42,MATCH(A25,'Project Portfolio'!A$4:A$42,0)),0)=0,IF(A25="","",TODAY()),INDEX('Project Portfolio'!I$4:I$42,MATCH(A25,'Project Portfolio'!A$4:A$42,0)))</f>
        <v>46109</v>
      </c>
      <c r="E25" s="211">
        <f ca="1">IF(IFERROR(INDEX('Project Portfolio'!J$4:J$42,MATCH(A25,'Project Portfolio'!A$4:A$42,0)),0)=0,IF(A25="","",D25+84),INDEX('Project Portfolio'!J$4:J$42,MATCH(A25,'Project Portfolio'!A$4:A$42,0)))</f>
        <v>46193</v>
      </c>
      <c r="F25" s="199">
        <f t="shared" ca="1" si="0"/>
        <v>12</v>
      </c>
      <c r="G25" s="185">
        <f>RM_Demand!F14</f>
        <v>0.1</v>
      </c>
      <c r="H25" s="185">
        <f>RM_Demand!G14</f>
        <v>0.25</v>
      </c>
      <c r="I25" s="185">
        <f>RM_Demand!H14</f>
        <v>0.65</v>
      </c>
      <c r="J25" s="185">
        <f>RM_Demand!I14</f>
        <v>0</v>
      </c>
      <c r="K25" s="185">
        <f>RM_Demand!J14</f>
        <v>0</v>
      </c>
      <c r="L25" s="185">
        <f>RM_Demand!K14</f>
        <v>0</v>
      </c>
      <c r="M25" s="185">
        <f>RM_Demand!L14</f>
        <v>0</v>
      </c>
    </row>
    <row r="26" spans="1:17">
      <c r="A26" t="str">
        <f>RM_Demand!A15</f>
        <v>ETE-37</v>
      </c>
      <c r="B26" t="str">
        <f>RM_Demand!B15</f>
        <v>Magic Search in BuyETE</v>
      </c>
      <c r="C26">
        <f>RM_Demand!E15</f>
        <v>40</v>
      </c>
      <c r="D26" s="211">
        <f ca="1">IF(IFERROR(INDEX('Project Portfolio'!I$4:I$42,MATCH(A26,'Project Portfolio'!A$4:A$42,0)),0)=0,IF(A26="","",TODAY()),INDEX('Project Portfolio'!I$4:I$42,MATCH(A26,'Project Portfolio'!A$4:A$42,0)))</f>
        <v>46109</v>
      </c>
      <c r="E26" s="211">
        <f ca="1">IF(IFERROR(INDEX('Project Portfolio'!J$4:J$42,MATCH(A26,'Project Portfolio'!A$4:A$42,0)),0)=0,IF(A26="","",D26+84),INDEX('Project Portfolio'!J$4:J$42,MATCH(A26,'Project Portfolio'!A$4:A$42,0)))</f>
        <v>46193</v>
      </c>
      <c r="F26" s="199">
        <f t="shared" ca="1" si="0"/>
        <v>12</v>
      </c>
      <c r="G26" s="185">
        <f>RM_Demand!F15</f>
        <v>0.1</v>
      </c>
      <c r="H26" s="185">
        <f>RM_Demand!G15</f>
        <v>0.25</v>
      </c>
      <c r="I26" s="185">
        <f>RM_Demand!H15</f>
        <v>0</v>
      </c>
      <c r="J26" s="185">
        <f>RM_Demand!I15</f>
        <v>0.65</v>
      </c>
      <c r="K26" s="185">
        <f>RM_Demand!J15</f>
        <v>0</v>
      </c>
      <c r="L26" s="185">
        <f>RM_Demand!K15</f>
        <v>0</v>
      </c>
      <c r="M26" s="185">
        <f>RM_Demand!L15</f>
        <v>0</v>
      </c>
    </row>
    <row r="27" spans="1:17">
      <c r="A27" t="str">
        <f>RM_Demand!A16</f>
        <v>ETE-97</v>
      </c>
      <c r="B27" t="str">
        <f>RM_Demand!B16</f>
        <v>Standard Order Process Notifications</v>
      </c>
      <c r="C27">
        <f>RM_Demand!E16</f>
        <v>200</v>
      </c>
      <c r="D27" s="211">
        <f ca="1">IF(IFERROR(INDEX('Project Portfolio'!I$4:I$42,MATCH(A27,'Project Portfolio'!A$4:A$42,0)),0)=0,IF(A27="","",TODAY()),INDEX('Project Portfolio'!I$4:I$42,MATCH(A27,'Project Portfolio'!A$4:A$42,0)))</f>
        <v>46109</v>
      </c>
      <c r="E27" s="211">
        <f ca="1">IF(IFERROR(INDEX('Project Portfolio'!J$4:J$42,MATCH(A27,'Project Portfolio'!A$4:A$42,0)),0)=0,IF(A27="","",D27+84),INDEX('Project Portfolio'!J$4:J$42,MATCH(A27,'Project Portfolio'!A$4:A$42,0)))</f>
        <v>46193</v>
      </c>
      <c r="F27" s="199">
        <f t="shared" ca="1" si="0"/>
        <v>12</v>
      </c>
      <c r="G27" s="185">
        <f>RM_Demand!F16</f>
        <v>0.1</v>
      </c>
      <c r="H27" s="185">
        <f>RM_Demand!G16</f>
        <v>0</v>
      </c>
      <c r="I27" s="185">
        <f>RM_Demand!H16</f>
        <v>0</v>
      </c>
      <c r="J27" s="185">
        <f>RM_Demand!I16</f>
        <v>0.75</v>
      </c>
      <c r="K27" s="185">
        <f>RM_Demand!J16</f>
        <v>0</v>
      </c>
      <c r="L27" s="185">
        <f>RM_Demand!K16</f>
        <v>0</v>
      </c>
      <c r="M27" s="185">
        <f>RM_Demand!L16</f>
        <v>0</v>
      </c>
    </row>
    <row r="28" spans="1:17">
      <c r="A28" t="str">
        <f>RM_Demand!A17</f>
        <v>ETE-100</v>
      </c>
      <c r="B28" t="str">
        <f>RM_Demand!B17</f>
        <v>ATSG Expired Members Self-Payment</v>
      </c>
      <c r="C28">
        <f>RM_Demand!E17</f>
        <v>200</v>
      </c>
      <c r="D28" s="211">
        <f ca="1">IF(IFERROR(INDEX('Project Portfolio'!I$4:I$42,MATCH(A28,'Project Portfolio'!A$4:A$42,0)),0)=0,IF(A28="","",TODAY()),INDEX('Project Portfolio'!I$4:I$42,MATCH(A28,'Project Portfolio'!A$4:A$42,0)))</f>
        <v>46109</v>
      </c>
      <c r="E28" s="211">
        <f ca="1">IF(IFERROR(INDEX('Project Portfolio'!J$4:J$42,MATCH(A28,'Project Portfolio'!A$4:A$42,0)),0)=0,IF(A28="","",D28+84),INDEX('Project Portfolio'!J$4:J$42,MATCH(A28,'Project Portfolio'!A$4:A$42,0)))</f>
        <v>46193</v>
      </c>
      <c r="F28" s="199">
        <f t="shared" ca="1" si="0"/>
        <v>12</v>
      </c>
      <c r="G28" s="185">
        <f>RM_Demand!F17</f>
        <v>0.1</v>
      </c>
      <c r="H28" s="185">
        <f>RM_Demand!G17</f>
        <v>0</v>
      </c>
      <c r="I28" s="185">
        <f>RM_Demand!H17</f>
        <v>0</v>
      </c>
      <c r="J28" s="185">
        <f>RM_Demand!I17</f>
        <v>0.75</v>
      </c>
      <c r="K28" s="185">
        <f>RM_Demand!J17</f>
        <v>0</v>
      </c>
      <c r="L28" s="185">
        <f>RM_Demand!K17</f>
        <v>0</v>
      </c>
      <c r="M28" s="185">
        <f>RM_Demand!L17</f>
        <v>0</v>
      </c>
    </row>
    <row r="29" spans="1:17">
      <c r="A29" t="str">
        <f>RM_Demand!A18</f>
        <v>ETE-124</v>
      </c>
      <c r="B29" t="str">
        <f>RM_Demand!B18</f>
        <v>Clean Up Return Loads</v>
      </c>
      <c r="C29">
        <f>RM_Demand!E18</f>
        <v>200</v>
      </c>
      <c r="D29" s="211">
        <f ca="1">IF(IFERROR(INDEX('Project Portfolio'!I$4:I$42,MATCH(A29,'Project Portfolio'!A$4:A$42,0)),0)=0,IF(A29="","",TODAY()),INDEX('Project Portfolio'!I$4:I$42,MATCH(A29,'Project Portfolio'!A$4:A$42,0)))</f>
        <v>46109</v>
      </c>
      <c r="E29" s="211">
        <f ca="1">IF(IFERROR(INDEX('Project Portfolio'!J$4:J$42,MATCH(A29,'Project Portfolio'!A$4:A$42,0)),0)=0,IF(A29="","",D29+84),INDEX('Project Portfolio'!J$4:J$42,MATCH(A29,'Project Portfolio'!A$4:A$42,0)))</f>
        <v>46193</v>
      </c>
      <c r="F29" s="199">
        <f t="shared" ca="1" si="0"/>
        <v>12</v>
      </c>
      <c r="G29" s="185">
        <f>RM_Demand!F18</f>
        <v>0.1</v>
      </c>
      <c r="H29" s="185">
        <f>RM_Demand!G18</f>
        <v>0.25</v>
      </c>
      <c r="I29" s="185">
        <f>RM_Demand!H18</f>
        <v>0.75</v>
      </c>
      <c r="J29" s="185">
        <f>RM_Demand!I18</f>
        <v>0</v>
      </c>
      <c r="K29" s="185">
        <f>RM_Demand!J18</f>
        <v>0</v>
      </c>
      <c r="L29" s="185">
        <f>RM_Demand!K18</f>
        <v>0</v>
      </c>
      <c r="M29" s="185">
        <f>RM_Demand!L18</f>
        <v>0</v>
      </c>
    </row>
    <row r="32" spans="1:17">
      <c r="A32" s="177" t="s">
        <v>522</v>
      </c>
      <c r="B32" s="178"/>
      <c r="C32" s="178"/>
      <c r="D32" s="178"/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</row>
    <row r="33" spans="1:17">
      <c r="A33" s="179" t="s">
        <v>523</v>
      </c>
      <c r="B33" s="212">
        <f ca="1">TODAY()-WEEKDAY(TODAY(),3)</f>
        <v>46104</v>
      </c>
      <c r="C33" s="212">
        <f ca="1">B33+7</f>
        <v>46111</v>
      </c>
      <c r="D33" s="212">
        <f t="shared" ref="D33:Q33" ca="1" si="1">C33+7</f>
        <v>46118</v>
      </c>
      <c r="E33" s="212">
        <f t="shared" ca="1" si="1"/>
        <v>46125</v>
      </c>
      <c r="F33" s="212">
        <f t="shared" ca="1" si="1"/>
        <v>46132</v>
      </c>
      <c r="G33" s="212">
        <f t="shared" ca="1" si="1"/>
        <v>46139</v>
      </c>
      <c r="H33" s="212">
        <f t="shared" ca="1" si="1"/>
        <v>46146</v>
      </c>
      <c r="I33" s="212">
        <f t="shared" ca="1" si="1"/>
        <v>46153</v>
      </c>
      <c r="J33" s="212">
        <f t="shared" ca="1" si="1"/>
        <v>46160</v>
      </c>
      <c r="K33" s="212">
        <f t="shared" ca="1" si="1"/>
        <v>46167</v>
      </c>
      <c r="L33" s="212">
        <f t="shared" ca="1" si="1"/>
        <v>46174</v>
      </c>
      <c r="M33" s="212">
        <f t="shared" ca="1" si="1"/>
        <v>46181</v>
      </c>
      <c r="N33" s="212">
        <f t="shared" ca="1" si="1"/>
        <v>46188</v>
      </c>
      <c r="O33" s="212">
        <f t="shared" ca="1" si="1"/>
        <v>46195</v>
      </c>
      <c r="P33" s="212">
        <f t="shared" ca="1" si="1"/>
        <v>46202</v>
      </c>
      <c r="Q33" s="212">
        <f t="shared" ca="1" si="1"/>
        <v>46209</v>
      </c>
    </row>
    <row r="34" spans="1:17">
      <c r="A34" s="176" t="s">
        <v>431</v>
      </c>
      <c r="B34" s="213" cm="1">
        <f t="array" aca="1" ref="B34" ca="1">IF($F6=0,0,SUMPRODUCT(($A$17:$A$29&lt;&gt;"")*(B$33&gt;=$D$17:$D$29)*(B$33&lt;$E$17:$E$29)*$C$17:$C$29*$G$17:$G$29*IF((B$33-$D$17:$D$29)/IF(($E$17:$E$29-$D$17:$D$29)=0,1,($E$17:$E$29-$D$17:$D$29))&lt;$B$48,RM_Assumptions!B$23,IF((B$33-$D$17:$D$29)/IF(($E$17:$E$29-$D$17:$D$29)=0,1,($E$17:$E$29-$D$17:$D$29))&lt;$C$48,RM_Assumptions!C$23,IF((B$33-$D$17:$D$29)/IF(($E$17:$E$29-$D$17:$D$29)=0,1,($E$17:$E$29-$D$17:$D$29))&lt;$D$48,RM_Assumptions!D$23,IF((B$33-$D$17:$D$29)/IF(($E$17:$E$29-$D$17:$D$29)=0,1,($E$17:$E$29-$D$17:$D$29))&lt;$E$48,RM_Assumptions!E$23,IF((B$33-$D$17:$D$29)/IF(($E$17:$E$29-$D$17:$D$29)=0,1,($E$17:$E$29-$D$17:$D$29))&lt;$F$48,RM_Assumptions!F$23,RM_Assumptions!G$23)))))/IF($F$17:$F$29=0,1,$F$17:$F$29))/$F6)</f>
        <v>1.178396941043649E-2</v>
      </c>
      <c r="C34" s="213" cm="1">
        <f t="array" aca="1" ref="C34" ca="1">IF($F6=0,0,SUMPRODUCT(($A$17:$A$29&lt;&gt;"")*(C$33&gt;=$D$17:$D$29)*(C$33&lt;$E$17:$E$29)*$C$17:$C$29*$G$17:$G$29*IF((C$33-$D$17:$D$29)/IF(($E$17:$E$29-$D$17:$D$29)=0,1,($E$17:$E$29-$D$17:$D$29))&lt;$B$48,RM_Assumptions!B$23,IF((C$33-$D$17:$D$29)/IF(($E$17:$E$29-$D$17:$D$29)=0,1,($E$17:$E$29-$D$17:$D$29))&lt;$C$48,RM_Assumptions!C$23,IF((C$33-$D$17:$D$29)/IF(($E$17:$E$29-$D$17:$D$29)=0,1,($E$17:$E$29-$D$17:$D$29))&lt;$D$48,RM_Assumptions!D$23,IF((C$33-$D$17:$D$29)/IF(($E$17:$E$29-$D$17:$D$29)=0,1,($E$17:$E$29-$D$17:$D$29))&lt;$E$48,RM_Assumptions!E$23,IF((C$33-$D$17:$D$29)/IF(($E$17:$E$29-$D$17:$D$29)=0,1,($E$17:$E$29-$D$17:$D$29))&lt;$F$48,RM_Assumptions!F$23,RM_Assumptions!G$23)))))/IF($F$17:$F$29=0,1,$F$17:$F$29))/$F6)</f>
        <v>4.5215573184021397E-2</v>
      </c>
      <c r="D34" s="213" cm="1">
        <f t="array" aca="1" ref="D34" ca="1">IF($F6=0,0,SUMPRODUCT(($A$17:$A$29&lt;&gt;"")*(D$33&gt;=$D$17:$D$29)*(D$33&lt;$E$17:$E$29)*$C$17:$C$29*$G$17:$G$29*IF((D$33-$D$17:$D$29)/IF(($E$17:$E$29-$D$17:$D$29)=0,1,($E$17:$E$29-$D$17:$D$29))&lt;$B$48,RM_Assumptions!B$23,IF((D$33-$D$17:$D$29)/IF(($E$17:$E$29-$D$17:$D$29)=0,1,($E$17:$E$29-$D$17:$D$29))&lt;$C$48,RM_Assumptions!C$23,IF((D$33-$D$17:$D$29)/IF(($E$17:$E$29-$D$17:$D$29)=0,1,($E$17:$E$29-$D$17:$D$29))&lt;$D$48,RM_Assumptions!D$23,IF((D$33-$D$17:$D$29)/IF(($E$17:$E$29-$D$17:$D$29)=0,1,($E$17:$E$29-$D$17:$D$29))&lt;$E$48,RM_Assumptions!E$23,IF((D$33-$D$17:$D$29)/IF(($E$17:$E$29-$D$17:$D$29)=0,1,($E$17:$E$29-$D$17:$D$29))&lt;$F$48,RM_Assumptions!F$23,RM_Assumptions!G$23)))))/IF($F$17:$F$29=0,1,$F$17:$F$29))/$F6)</f>
        <v>3.1090661088381464E-2</v>
      </c>
      <c r="E34" s="213" cm="1">
        <f t="array" aca="1" ref="E34" ca="1">IF($F6=0,0,SUMPRODUCT(($A$17:$A$29&lt;&gt;"")*(E$33&gt;=$D$17:$D$29)*(E$33&lt;$E$17:$E$29)*$C$17:$C$29*$G$17:$G$29*IF((E$33-$D$17:$D$29)/IF(($E$17:$E$29-$D$17:$D$29)=0,1,($E$17:$E$29-$D$17:$D$29))&lt;$B$48,RM_Assumptions!B$23,IF((E$33-$D$17:$D$29)/IF(($E$17:$E$29-$D$17:$D$29)=0,1,($E$17:$E$29-$D$17:$D$29))&lt;$C$48,RM_Assumptions!C$23,IF((E$33-$D$17:$D$29)/IF(($E$17:$E$29-$D$17:$D$29)=0,1,($E$17:$E$29-$D$17:$D$29))&lt;$D$48,RM_Assumptions!D$23,IF((E$33-$D$17:$D$29)/IF(($E$17:$E$29-$D$17:$D$29)=0,1,($E$17:$E$29-$D$17:$D$29))&lt;$E$48,RM_Assumptions!E$23,IF((E$33-$D$17:$D$29)/IF(($E$17:$E$29-$D$17:$D$29)=0,1,($E$17:$E$29-$D$17:$D$29))&lt;$F$48,RM_Assumptions!F$23,RM_Assumptions!G$23)))))/IF($F$17:$F$29=0,1,$F$17:$F$29))/$F6)</f>
        <v>2.9852453541211649E-2</v>
      </c>
      <c r="F34" s="213" cm="1">
        <f t="array" aca="1" ref="F34" ca="1">IF($F6=0,0,SUMPRODUCT(($A$17:$A$29&lt;&gt;"")*(F$33&gt;=$D$17:$D$29)*(F$33&lt;$E$17:$E$29)*$C$17:$C$29*$G$17:$G$29*IF((F$33-$D$17:$D$29)/IF(($E$17:$E$29-$D$17:$D$29)=0,1,($E$17:$E$29-$D$17:$D$29))&lt;$B$48,RM_Assumptions!B$23,IF((F$33-$D$17:$D$29)/IF(($E$17:$E$29-$D$17:$D$29)=0,1,($E$17:$E$29-$D$17:$D$29))&lt;$C$48,RM_Assumptions!C$23,IF((F$33-$D$17:$D$29)/IF(($E$17:$E$29-$D$17:$D$29)=0,1,($E$17:$E$29-$D$17:$D$29))&lt;$D$48,RM_Assumptions!D$23,IF((F$33-$D$17:$D$29)/IF(($E$17:$E$29-$D$17:$D$29)=0,1,($E$17:$E$29-$D$17:$D$29))&lt;$E$48,RM_Assumptions!E$23,IF((F$33-$D$17:$D$29)/IF(($E$17:$E$29-$D$17:$D$29)=0,1,($E$17:$E$29-$D$17:$D$29))&lt;$F$48,RM_Assumptions!F$23,RM_Assumptions!G$23)))))/IF($F$17:$F$29=0,1,$F$17:$F$29))/$F6)</f>
        <v>2.9233349767626742E-2</v>
      </c>
      <c r="G34" s="213" cm="1">
        <f t="array" aca="1" ref="G34" ca="1">IF($F6=0,0,SUMPRODUCT(($A$17:$A$29&lt;&gt;"")*(G$33&gt;=$D$17:$D$29)*(G$33&lt;$E$17:$E$29)*$C$17:$C$29*$G$17:$G$29*IF((G$33-$D$17:$D$29)/IF(($E$17:$E$29-$D$17:$D$29)=0,1,($E$17:$E$29-$D$17:$D$29))&lt;$B$48,RM_Assumptions!B$23,IF((G$33-$D$17:$D$29)/IF(($E$17:$E$29-$D$17:$D$29)=0,1,($E$17:$E$29-$D$17:$D$29))&lt;$C$48,RM_Assumptions!C$23,IF((G$33-$D$17:$D$29)/IF(($E$17:$E$29-$D$17:$D$29)=0,1,($E$17:$E$29-$D$17:$D$29))&lt;$D$48,RM_Assumptions!D$23,IF((G$33-$D$17:$D$29)/IF(($E$17:$E$29-$D$17:$D$29)=0,1,($E$17:$E$29-$D$17:$D$29))&lt;$E$48,RM_Assumptions!E$23,IF((G$33-$D$17:$D$29)/IF(($E$17:$E$29-$D$17:$D$29)=0,1,($E$17:$E$29-$D$17:$D$29))&lt;$F$48,RM_Assumptions!F$23,RM_Assumptions!G$23)))))/IF($F$17:$F$29=0,1,$F$17:$F$29))/$F6)</f>
        <v>1.7188254830917876E-2</v>
      </c>
      <c r="H34" s="213" cm="1">
        <f t="array" aca="1" ref="H34" ca="1">IF($F6=0,0,SUMPRODUCT(($A$17:$A$29&lt;&gt;"")*(H$33&gt;=$D$17:$D$29)*(H$33&lt;$E$17:$E$29)*$C$17:$C$29*$G$17:$G$29*IF((H$33-$D$17:$D$29)/IF(($E$17:$E$29-$D$17:$D$29)=0,1,($E$17:$E$29-$D$17:$D$29))&lt;$B$48,RM_Assumptions!B$23,IF((H$33-$D$17:$D$29)/IF(($E$17:$E$29-$D$17:$D$29)=0,1,($E$17:$E$29-$D$17:$D$29))&lt;$C$48,RM_Assumptions!C$23,IF((H$33-$D$17:$D$29)/IF(($E$17:$E$29-$D$17:$D$29)=0,1,($E$17:$E$29-$D$17:$D$29))&lt;$D$48,RM_Assumptions!D$23,IF((H$33-$D$17:$D$29)/IF(($E$17:$E$29-$D$17:$D$29)=0,1,($E$17:$E$29-$D$17:$D$29))&lt;$E$48,RM_Assumptions!E$23,IF((H$33-$D$17:$D$29)/IF(($E$17:$E$29-$D$17:$D$29)=0,1,($E$17:$E$29-$D$17:$D$29))&lt;$F$48,RM_Assumptions!F$23,RM_Assumptions!G$23)))))/IF($F$17:$F$29=0,1,$F$17:$F$29))/$F6)</f>
        <v>1.3669233091787443E-2</v>
      </c>
      <c r="I34" s="213" cm="1">
        <f t="array" aca="1" ref="I34" ca="1">IF($F6=0,0,SUMPRODUCT(($A$17:$A$29&lt;&gt;"")*(I$33&gt;=$D$17:$D$29)*(I$33&lt;$E$17:$E$29)*$C$17:$C$29*$G$17:$G$29*IF((I$33-$D$17:$D$29)/IF(($E$17:$E$29-$D$17:$D$29)=0,1,($E$17:$E$29-$D$17:$D$29))&lt;$B$48,RM_Assumptions!B$23,IF((I$33-$D$17:$D$29)/IF(($E$17:$E$29-$D$17:$D$29)=0,1,($E$17:$E$29-$D$17:$D$29))&lt;$C$48,RM_Assumptions!C$23,IF((I$33-$D$17:$D$29)/IF(($E$17:$E$29-$D$17:$D$29)=0,1,($E$17:$E$29-$D$17:$D$29))&lt;$D$48,RM_Assumptions!D$23,IF((I$33-$D$17:$D$29)/IF(($E$17:$E$29-$D$17:$D$29)=0,1,($E$17:$E$29-$D$17:$D$29))&lt;$E$48,RM_Assumptions!E$23,IF((I$33-$D$17:$D$29)/IF(($E$17:$E$29-$D$17:$D$29)=0,1,($E$17:$E$29-$D$17:$D$29))&lt;$F$48,RM_Assumptions!F$23,RM_Assumptions!G$23)))))/IF($F$17:$F$29=0,1,$F$17:$F$29))/$F6)</f>
        <v>1.3669233091787443E-2</v>
      </c>
      <c r="J34" s="213" cm="1">
        <f t="array" aca="1" ref="J34" ca="1">IF($F6=0,0,SUMPRODUCT(($A$17:$A$29&lt;&gt;"")*(J$33&gt;=$D$17:$D$29)*(J$33&lt;$E$17:$E$29)*$C$17:$C$29*$G$17:$G$29*IF((J$33-$D$17:$D$29)/IF(($E$17:$E$29-$D$17:$D$29)=0,1,($E$17:$E$29-$D$17:$D$29))&lt;$B$48,RM_Assumptions!B$23,IF((J$33-$D$17:$D$29)/IF(($E$17:$E$29-$D$17:$D$29)=0,1,($E$17:$E$29-$D$17:$D$29))&lt;$C$48,RM_Assumptions!C$23,IF((J$33-$D$17:$D$29)/IF(($E$17:$E$29-$D$17:$D$29)=0,1,($E$17:$E$29-$D$17:$D$29))&lt;$D$48,RM_Assumptions!D$23,IF((J$33-$D$17:$D$29)/IF(($E$17:$E$29-$D$17:$D$29)=0,1,($E$17:$E$29-$D$17:$D$29))&lt;$E$48,RM_Assumptions!E$23,IF((J$33-$D$17:$D$29)/IF(($E$17:$E$29-$D$17:$D$29)=0,1,($E$17:$E$29-$D$17:$D$29))&lt;$F$48,RM_Assumptions!F$23,RM_Assumptions!G$23)))))/IF($F$17:$F$29=0,1,$F$17:$F$29))/$F6)</f>
        <v>1.4155344202898554E-2</v>
      </c>
      <c r="K34" s="213" cm="1">
        <f t="array" aca="1" ref="K34" ca="1">IF($F6=0,0,SUMPRODUCT(($A$17:$A$29&lt;&gt;"")*(K$33&gt;=$D$17:$D$29)*(K$33&lt;$E$17:$E$29)*$C$17:$C$29*$G$17:$G$29*IF((K$33-$D$17:$D$29)/IF(($E$17:$E$29-$D$17:$D$29)=0,1,($E$17:$E$29-$D$17:$D$29))&lt;$B$48,RM_Assumptions!B$23,IF((K$33-$D$17:$D$29)/IF(($E$17:$E$29-$D$17:$D$29)=0,1,($E$17:$E$29-$D$17:$D$29))&lt;$C$48,RM_Assumptions!C$23,IF((K$33-$D$17:$D$29)/IF(($E$17:$E$29-$D$17:$D$29)=0,1,($E$17:$E$29-$D$17:$D$29))&lt;$D$48,RM_Assumptions!D$23,IF((K$33-$D$17:$D$29)/IF(($E$17:$E$29-$D$17:$D$29)=0,1,($E$17:$E$29-$D$17:$D$29))&lt;$E$48,RM_Assumptions!E$23,IF((K$33-$D$17:$D$29)/IF(($E$17:$E$29-$D$17:$D$29)=0,1,($E$17:$E$29-$D$17:$D$29))&lt;$F$48,RM_Assumptions!F$23,RM_Assumptions!G$23)))))/IF($F$17:$F$29=0,1,$F$17:$F$29))/$F6)</f>
        <v>1.962409420289855E-2</v>
      </c>
      <c r="L34" s="213" cm="1">
        <f t="array" aca="1" ref="L34" ca="1">IF($F6=0,0,SUMPRODUCT(($A$17:$A$29&lt;&gt;"")*(L$33&gt;=$D$17:$D$29)*(L$33&lt;$E$17:$E$29)*$C$17:$C$29*$G$17:$G$29*IF((L$33-$D$17:$D$29)/IF(($E$17:$E$29-$D$17:$D$29)=0,1,($E$17:$E$29-$D$17:$D$29))&lt;$B$48,RM_Assumptions!B$23,IF((L$33-$D$17:$D$29)/IF(($E$17:$E$29-$D$17:$D$29)=0,1,($E$17:$E$29-$D$17:$D$29))&lt;$C$48,RM_Assumptions!C$23,IF((L$33-$D$17:$D$29)/IF(($E$17:$E$29-$D$17:$D$29)=0,1,($E$17:$E$29-$D$17:$D$29))&lt;$D$48,RM_Assumptions!D$23,IF((L$33-$D$17:$D$29)/IF(($E$17:$E$29-$D$17:$D$29)=0,1,($E$17:$E$29-$D$17:$D$29))&lt;$E$48,RM_Assumptions!E$23,IF((L$33-$D$17:$D$29)/IF(($E$17:$E$29-$D$17:$D$29)=0,1,($E$17:$E$29-$D$17:$D$29))&lt;$F$48,RM_Assumptions!F$23,RM_Assumptions!G$23)))))/IF($F$17:$F$29=0,1,$F$17:$F$29))/$F6)</f>
        <v>1.7864583333333333E-2</v>
      </c>
      <c r="M34" s="213" cm="1">
        <f t="array" aca="1" ref="M34" ca="1">IF($F6=0,0,SUMPRODUCT(($A$17:$A$29&lt;&gt;"")*(M$33&gt;=$D$17:$D$29)*(M$33&lt;$E$17:$E$29)*$C$17:$C$29*$G$17:$G$29*IF((M$33-$D$17:$D$29)/IF(($E$17:$E$29-$D$17:$D$29)=0,1,($E$17:$E$29-$D$17:$D$29))&lt;$B$48,RM_Assumptions!B$23,IF((M$33-$D$17:$D$29)/IF(($E$17:$E$29-$D$17:$D$29)=0,1,($E$17:$E$29-$D$17:$D$29))&lt;$C$48,RM_Assumptions!C$23,IF((M$33-$D$17:$D$29)/IF(($E$17:$E$29-$D$17:$D$29)=0,1,($E$17:$E$29-$D$17:$D$29))&lt;$D$48,RM_Assumptions!D$23,IF((M$33-$D$17:$D$29)/IF(($E$17:$E$29-$D$17:$D$29)=0,1,($E$17:$E$29-$D$17:$D$29))&lt;$E$48,RM_Assumptions!E$23,IF((M$33-$D$17:$D$29)/IF(($E$17:$E$29-$D$17:$D$29)=0,1,($E$17:$E$29-$D$17:$D$29))&lt;$F$48,RM_Assumptions!F$23,RM_Assumptions!G$23)))))/IF($F$17:$F$29=0,1,$F$17:$F$29))/$F6)</f>
        <v>6.9270833333333354E-3</v>
      </c>
      <c r="N34" s="213" cm="1">
        <f t="array" aca="1" ref="N34" ca="1">IF($F6=0,0,SUMPRODUCT(($A$17:$A$29&lt;&gt;"")*(N$33&gt;=$D$17:$D$29)*(N$33&lt;$E$17:$E$29)*$C$17:$C$29*$G$17:$G$29*IF((N$33-$D$17:$D$29)/IF(($E$17:$E$29-$D$17:$D$29)=0,1,($E$17:$E$29-$D$17:$D$29))&lt;$B$48,RM_Assumptions!B$23,IF((N$33-$D$17:$D$29)/IF(($E$17:$E$29-$D$17:$D$29)=0,1,($E$17:$E$29-$D$17:$D$29))&lt;$C$48,RM_Assumptions!C$23,IF((N$33-$D$17:$D$29)/IF(($E$17:$E$29-$D$17:$D$29)=0,1,($E$17:$E$29-$D$17:$D$29))&lt;$D$48,RM_Assumptions!D$23,IF((N$33-$D$17:$D$29)/IF(($E$17:$E$29-$D$17:$D$29)=0,1,($E$17:$E$29-$D$17:$D$29))&lt;$E$48,RM_Assumptions!E$23,IF((N$33-$D$17:$D$29)/IF(($E$17:$E$29-$D$17:$D$29)=0,1,($E$17:$E$29-$D$17:$D$29))&lt;$F$48,RM_Assumptions!F$23,RM_Assumptions!G$23)))))/IF($F$17:$F$29=0,1,$F$17:$F$29))/$F6)</f>
        <v>5.9548611111111122E-3</v>
      </c>
      <c r="O34" s="213" cm="1">
        <f t="array" aca="1" ref="O34" ca="1">IF($F6=0,0,SUMPRODUCT(($A$17:$A$29&lt;&gt;"")*(O$33&gt;=$D$17:$D$29)*(O$33&lt;$E$17:$E$29)*$C$17:$C$29*$G$17:$G$29*IF((O$33-$D$17:$D$29)/IF(($E$17:$E$29-$D$17:$D$29)=0,1,($E$17:$E$29-$D$17:$D$29))&lt;$B$48,RM_Assumptions!B$23,IF((O$33-$D$17:$D$29)/IF(($E$17:$E$29-$D$17:$D$29)=0,1,($E$17:$E$29-$D$17:$D$29))&lt;$C$48,RM_Assumptions!C$23,IF((O$33-$D$17:$D$29)/IF(($E$17:$E$29-$D$17:$D$29)=0,1,($E$17:$E$29-$D$17:$D$29))&lt;$D$48,RM_Assumptions!D$23,IF((O$33-$D$17:$D$29)/IF(($E$17:$E$29-$D$17:$D$29)=0,1,($E$17:$E$29-$D$17:$D$29))&lt;$E$48,RM_Assumptions!E$23,IF((O$33-$D$17:$D$29)/IF(($E$17:$E$29-$D$17:$D$29)=0,1,($E$17:$E$29-$D$17:$D$29))&lt;$F$48,RM_Assumptions!F$23,RM_Assumptions!G$23)))))/IF($F$17:$F$29=0,1,$F$17:$F$29))/$F6)</f>
        <v>4.8611111111111121E-4</v>
      </c>
      <c r="P34" s="213" cm="1">
        <f t="array" aca="1" ref="P34" ca="1">IF($F6=0,0,SUMPRODUCT(($A$17:$A$29&lt;&gt;"")*(P$33&gt;=$D$17:$D$29)*(P$33&lt;$E$17:$E$29)*$C$17:$C$29*$G$17:$G$29*IF((P$33-$D$17:$D$29)/IF(($E$17:$E$29-$D$17:$D$29)=0,1,($E$17:$E$29-$D$17:$D$29))&lt;$B$48,RM_Assumptions!B$23,IF((P$33-$D$17:$D$29)/IF(($E$17:$E$29-$D$17:$D$29)=0,1,($E$17:$E$29-$D$17:$D$29))&lt;$C$48,RM_Assumptions!C$23,IF((P$33-$D$17:$D$29)/IF(($E$17:$E$29-$D$17:$D$29)=0,1,($E$17:$E$29-$D$17:$D$29))&lt;$D$48,RM_Assumptions!D$23,IF((P$33-$D$17:$D$29)/IF(($E$17:$E$29-$D$17:$D$29)=0,1,($E$17:$E$29-$D$17:$D$29))&lt;$E$48,RM_Assumptions!E$23,IF((P$33-$D$17:$D$29)/IF(($E$17:$E$29-$D$17:$D$29)=0,1,($E$17:$E$29-$D$17:$D$29))&lt;$F$48,RM_Assumptions!F$23,RM_Assumptions!G$23)))))/IF($F$17:$F$29=0,1,$F$17:$F$29))/$F6)</f>
        <v>4.8611111111111121E-4</v>
      </c>
      <c r="Q34" s="213" cm="1">
        <f t="array" aca="1" ref="Q34" ca="1">IF($F6=0,0,SUMPRODUCT(($A$17:$A$29&lt;&gt;"")*(Q$33&gt;=$D$17:$D$29)*(Q$33&lt;$E$17:$E$29)*$C$17:$C$29*$G$17:$G$29*IF((Q$33-$D$17:$D$29)/IF(($E$17:$E$29-$D$17:$D$29)=0,1,($E$17:$E$29-$D$17:$D$29))&lt;$B$48,RM_Assumptions!B$23,IF((Q$33-$D$17:$D$29)/IF(($E$17:$E$29-$D$17:$D$29)=0,1,($E$17:$E$29-$D$17:$D$29))&lt;$C$48,RM_Assumptions!C$23,IF((Q$33-$D$17:$D$29)/IF(($E$17:$E$29-$D$17:$D$29)=0,1,($E$17:$E$29-$D$17:$D$29))&lt;$D$48,RM_Assumptions!D$23,IF((Q$33-$D$17:$D$29)/IF(($E$17:$E$29-$D$17:$D$29)=0,1,($E$17:$E$29-$D$17:$D$29))&lt;$E$48,RM_Assumptions!E$23,IF((Q$33-$D$17:$D$29)/IF(($E$17:$E$29-$D$17:$D$29)=0,1,($E$17:$E$29-$D$17:$D$29))&lt;$F$48,RM_Assumptions!F$23,RM_Assumptions!G$23)))))/IF($F$17:$F$29=0,1,$F$17:$F$29))/$F6)</f>
        <v>0</v>
      </c>
    </row>
    <row r="35" spans="1:17">
      <c r="A35" s="176" t="s">
        <v>432</v>
      </c>
      <c r="B35" s="213" cm="1">
        <f t="array" aca="1" ref="B35" ca="1">IF($F7=0,0,SUMPRODUCT(($A$17:$A$29&lt;&gt;"")*(B$33&gt;=$D$17:$D$29)*(B$33&lt;$E$17:$E$29)*$C$17:$C$29*$H$17:$H$29*IF((B$33-$D$17:$D$29)/IF(($E$17:$E$29-$D$17:$D$29)=0,1,($E$17:$E$29-$D$17:$D$29))&lt;$B$48,RM_Assumptions!B$24,IF((B$33-$D$17:$D$29)/IF(($E$17:$E$29-$D$17:$D$29)=0,1,($E$17:$E$29-$D$17:$D$29))&lt;$C$48,RM_Assumptions!C$24,IF((B$33-$D$17:$D$29)/IF(($E$17:$E$29-$D$17:$D$29)=0,1,($E$17:$E$29-$D$17:$D$29))&lt;$D$48,RM_Assumptions!D$24,IF((B$33-$D$17:$D$29)/IF(($E$17:$E$29-$D$17:$D$29)=0,1,($E$17:$E$29-$D$17:$D$29))&lt;$E$48,RM_Assumptions!E$24,IF((B$33-$D$17:$D$29)/IF(($E$17:$E$29-$D$17:$D$29)=0,1,($E$17:$E$29-$D$17:$D$29))&lt;$F$48,RM_Assumptions!F$24,RM_Assumptions!G$24)))))/IF($F$17:$F$29=0,1,$F$17:$F$29))/$F7)</f>
        <v>9.2865566037735846E-3</v>
      </c>
      <c r="C35" s="213" cm="1">
        <f t="array" aca="1" ref="C35" ca="1">IF($F7=0,0,SUMPRODUCT(($A$17:$A$29&lt;&gt;"")*(C$33&gt;=$D$17:$D$29)*(C$33&lt;$E$17:$E$29)*$C$17:$C$29*$H$17:$H$29*IF((C$33-$D$17:$D$29)/IF(($E$17:$E$29-$D$17:$D$29)=0,1,($E$17:$E$29-$D$17:$D$29))&lt;$B$48,RM_Assumptions!B$24,IF((C$33-$D$17:$D$29)/IF(($E$17:$E$29-$D$17:$D$29)=0,1,($E$17:$E$29-$D$17:$D$29))&lt;$C$48,RM_Assumptions!C$24,IF((C$33-$D$17:$D$29)/IF(($E$17:$E$29-$D$17:$D$29)=0,1,($E$17:$E$29-$D$17:$D$29))&lt;$D$48,RM_Assumptions!D$24,IF((C$33-$D$17:$D$29)/IF(($E$17:$E$29-$D$17:$D$29)=0,1,($E$17:$E$29-$D$17:$D$29))&lt;$E$48,RM_Assumptions!E$24,IF((C$33-$D$17:$D$29)/IF(($E$17:$E$29-$D$17:$D$29)=0,1,($E$17:$E$29-$D$17:$D$29))&lt;$F$48,RM_Assumptions!F$24,RM_Assumptions!G$24)))))/IF($F$17:$F$29=0,1,$F$17:$F$29))/$F7)</f>
        <v>7.4390723270440245E-2</v>
      </c>
      <c r="D35" s="213" cm="1">
        <f t="array" aca="1" ref="D35" ca="1">IF($F7=0,0,SUMPRODUCT(($A$17:$A$29&lt;&gt;"")*(D$33&gt;=$D$17:$D$29)*(D$33&lt;$E$17:$E$29)*$C$17:$C$29*$H$17:$H$29*IF((D$33-$D$17:$D$29)/IF(($E$17:$E$29-$D$17:$D$29)=0,1,($E$17:$E$29-$D$17:$D$29))&lt;$B$48,RM_Assumptions!B$24,IF((D$33-$D$17:$D$29)/IF(($E$17:$E$29-$D$17:$D$29)=0,1,($E$17:$E$29-$D$17:$D$29))&lt;$C$48,RM_Assumptions!C$24,IF((D$33-$D$17:$D$29)/IF(($E$17:$E$29-$D$17:$D$29)=0,1,($E$17:$E$29-$D$17:$D$29))&lt;$D$48,RM_Assumptions!D$24,IF((D$33-$D$17:$D$29)/IF(($E$17:$E$29-$D$17:$D$29)=0,1,($E$17:$E$29-$D$17:$D$29))&lt;$E$48,RM_Assumptions!E$24,IF((D$33-$D$17:$D$29)/IF(($E$17:$E$29-$D$17:$D$29)=0,1,($E$17:$E$29-$D$17:$D$29))&lt;$F$48,RM_Assumptions!F$24,RM_Assumptions!G$24)))))/IF($F$17:$F$29=0,1,$F$17:$F$29))/$F7)</f>
        <v>4.1838639937106917E-2</v>
      </c>
      <c r="E35" s="213" cm="1">
        <f t="array" aca="1" ref="E35" ca="1">IF($F7=0,0,SUMPRODUCT(($A$17:$A$29&lt;&gt;"")*(E$33&gt;=$D$17:$D$29)*(E$33&lt;$E$17:$E$29)*$C$17:$C$29*$H$17:$H$29*IF((E$33-$D$17:$D$29)/IF(($E$17:$E$29-$D$17:$D$29)=0,1,($E$17:$E$29-$D$17:$D$29))&lt;$B$48,RM_Assumptions!B$24,IF((E$33-$D$17:$D$29)/IF(($E$17:$E$29-$D$17:$D$29)=0,1,($E$17:$E$29-$D$17:$D$29))&lt;$C$48,RM_Assumptions!C$24,IF((E$33-$D$17:$D$29)/IF(($E$17:$E$29-$D$17:$D$29)=0,1,($E$17:$E$29-$D$17:$D$29))&lt;$D$48,RM_Assumptions!D$24,IF((E$33-$D$17:$D$29)/IF(($E$17:$E$29-$D$17:$D$29)=0,1,($E$17:$E$29-$D$17:$D$29))&lt;$E$48,RM_Assumptions!E$24,IF((E$33-$D$17:$D$29)/IF(($E$17:$E$29-$D$17:$D$29)=0,1,($E$17:$E$29-$D$17:$D$29))&lt;$F$48,RM_Assumptions!F$24,RM_Assumptions!G$24)))))/IF($F$17:$F$29=0,1,$F$17:$F$29))/$F7)</f>
        <v>3.8743121069182387E-2</v>
      </c>
      <c r="F35" s="213" cm="1">
        <f t="array" aca="1" ref="F35" ca="1">IF($F7=0,0,SUMPRODUCT(($A$17:$A$29&lt;&gt;"")*(F$33&gt;=$D$17:$D$29)*(F$33&lt;$E$17:$E$29)*$C$17:$C$29*$H$17:$H$29*IF((F$33-$D$17:$D$29)/IF(($E$17:$E$29-$D$17:$D$29)=0,1,($E$17:$E$29-$D$17:$D$29))&lt;$B$48,RM_Assumptions!B$24,IF((F$33-$D$17:$D$29)/IF(($E$17:$E$29-$D$17:$D$29)=0,1,($E$17:$E$29-$D$17:$D$29))&lt;$C$48,RM_Assumptions!C$24,IF((F$33-$D$17:$D$29)/IF(($E$17:$E$29-$D$17:$D$29)=0,1,($E$17:$E$29-$D$17:$D$29))&lt;$D$48,RM_Assumptions!D$24,IF((F$33-$D$17:$D$29)/IF(($E$17:$E$29-$D$17:$D$29)=0,1,($E$17:$E$29-$D$17:$D$29))&lt;$E$48,RM_Assumptions!E$24,IF((F$33-$D$17:$D$29)/IF(($E$17:$E$29-$D$17:$D$29)=0,1,($E$17:$E$29-$D$17:$D$29))&lt;$F$48,RM_Assumptions!F$24,RM_Assumptions!G$24)))))/IF($F$17:$F$29=0,1,$F$17:$F$29))/$F7)</f>
        <v>9.765625E-2</v>
      </c>
      <c r="G35" s="213" cm="1">
        <f t="array" aca="1" ref="G35" ca="1">IF($F7=0,0,SUMPRODUCT(($A$17:$A$29&lt;&gt;"")*(G$33&gt;=$D$17:$D$29)*(G$33&lt;$E$17:$E$29)*$C$17:$C$29*$H$17:$H$29*IF((G$33-$D$17:$D$29)/IF(($E$17:$E$29-$D$17:$D$29)=0,1,($E$17:$E$29-$D$17:$D$29))&lt;$B$48,RM_Assumptions!B$24,IF((G$33-$D$17:$D$29)/IF(($E$17:$E$29-$D$17:$D$29)=0,1,($E$17:$E$29-$D$17:$D$29))&lt;$C$48,RM_Assumptions!C$24,IF((G$33-$D$17:$D$29)/IF(($E$17:$E$29-$D$17:$D$29)=0,1,($E$17:$E$29-$D$17:$D$29))&lt;$D$48,RM_Assumptions!D$24,IF((G$33-$D$17:$D$29)/IF(($E$17:$E$29-$D$17:$D$29)=0,1,($E$17:$E$29-$D$17:$D$29))&lt;$E$48,RM_Assumptions!E$24,IF((G$33-$D$17:$D$29)/IF(($E$17:$E$29-$D$17:$D$29)=0,1,($E$17:$E$29-$D$17:$D$29))&lt;$F$48,RM_Assumptions!F$24,RM_Assumptions!G$24)))))/IF($F$17:$F$29=0,1,$F$17:$F$29))/$F7)</f>
        <v>4.8828125E-2</v>
      </c>
      <c r="H35" s="213" cm="1">
        <f t="array" aca="1" ref="H35" ca="1">IF($F7=0,0,SUMPRODUCT(($A$17:$A$29&lt;&gt;"")*(H$33&gt;=$D$17:$D$29)*(H$33&lt;$E$17:$E$29)*$C$17:$C$29*$H$17:$H$29*IF((H$33-$D$17:$D$29)/IF(($E$17:$E$29-$D$17:$D$29)=0,1,($E$17:$E$29-$D$17:$D$29))&lt;$B$48,RM_Assumptions!B$24,IF((H$33-$D$17:$D$29)/IF(($E$17:$E$29-$D$17:$D$29)=0,1,($E$17:$E$29-$D$17:$D$29))&lt;$C$48,RM_Assumptions!C$24,IF((H$33-$D$17:$D$29)/IF(($E$17:$E$29-$D$17:$D$29)=0,1,($E$17:$E$29-$D$17:$D$29))&lt;$D$48,RM_Assumptions!D$24,IF((H$33-$D$17:$D$29)/IF(($E$17:$E$29-$D$17:$D$29)=0,1,($E$17:$E$29-$D$17:$D$29))&lt;$E$48,RM_Assumptions!E$24,IF((H$33-$D$17:$D$29)/IF(($E$17:$E$29-$D$17:$D$29)=0,1,($E$17:$E$29-$D$17:$D$29))&lt;$F$48,RM_Assumptions!F$24,RM_Assumptions!G$24)))))/IF($F$17:$F$29=0,1,$F$17:$F$29))/$F7)</f>
        <v>4.8828125E-2</v>
      </c>
      <c r="I35" s="213" cm="1">
        <f t="array" aca="1" ref="I35" ca="1">IF($F7=0,0,SUMPRODUCT(($A$17:$A$29&lt;&gt;"")*(I$33&gt;=$D$17:$D$29)*(I$33&lt;$E$17:$E$29)*$C$17:$C$29*$H$17:$H$29*IF((I$33-$D$17:$D$29)/IF(($E$17:$E$29-$D$17:$D$29)=0,1,($E$17:$E$29-$D$17:$D$29))&lt;$B$48,RM_Assumptions!B$24,IF((I$33-$D$17:$D$29)/IF(($E$17:$E$29-$D$17:$D$29)=0,1,($E$17:$E$29-$D$17:$D$29))&lt;$C$48,RM_Assumptions!C$24,IF((I$33-$D$17:$D$29)/IF(($E$17:$E$29-$D$17:$D$29)=0,1,($E$17:$E$29-$D$17:$D$29))&lt;$D$48,RM_Assumptions!D$24,IF((I$33-$D$17:$D$29)/IF(($E$17:$E$29-$D$17:$D$29)=0,1,($E$17:$E$29-$D$17:$D$29))&lt;$E$48,RM_Assumptions!E$24,IF((I$33-$D$17:$D$29)/IF(($E$17:$E$29-$D$17:$D$29)=0,1,($E$17:$E$29-$D$17:$D$29))&lt;$F$48,RM_Assumptions!F$24,RM_Assumptions!G$24)))))/IF($F$17:$F$29=0,1,$F$17:$F$29))/$F7)</f>
        <v>4.8828125E-2</v>
      </c>
      <c r="J35" s="213" cm="1">
        <f t="array" aca="1" ref="J35" ca="1">IF($F7=0,0,SUMPRODUCT(($A$17:$A$29&lt;&gt;"")*(J$33&gt;=$D$17:$D$29)*(J$33&lt;$E$17:$E$29)*$C$17:$C$29*$H$17:$H$29*IF((J$33-$D$17:$D$29)/IF(($E$17:$E$29-$D$17:$D$29)=0,1,($E$17:$E$29-$D$17:$D$29))&lt;$B$48,RM_Assumptions!B$24,IF((J$33-$D$17:$D$29)/IF(($E$17:$E$29-$D$17:$D$29)=0,1,($E$17:$E$29-$D$17:$D$29))&lt;$C$48,RM_Assumptions!C$24,IF((J$33-$D$17:$D$29)/IF(($E$17:$E$29-$D$17:$D$29)=0,1,($E$17:$E$29-$D$17:$D$29))&lt;$D$48,RM_Assumptions!D$24,IF((J$33-$D$17:$D$29)/IF(($E$17:$E$29-$D$17:$D$29)=0,1,($E$17:$E$29-$D$17:$D$29))&lt;$E$48,RM_Assumptions!E$24,IF((J$33-$D$17:$D$29)/IF(($E$17:$E$29-$D$17:$D$29)=0,1,($E$17:$E$29-$D$17:$D$29))&lt;$F$48,RM_Assumptions!F$24,RM_Assumptions!G$24)))))/IF($F$17:$F$29=0,1,$F$17:$F$29))/$F7)</f>
        <v>4.8828125E-2</v>
      </c>
      <c r="K35" s="213" cm="1">
        <f t="array" aca="1" ref="K35" ca="1">IF($F7=0,0,SUMPRODUCT(($A$17:$A$29&lt;&gt;"")*(K$33&gt;=$D$17:$D$29)*(K$33&lt;$E$17:$E$29)*$C$17:$C$29*$H$17:$H$29*IF((K$33-$D$17:$D$29)/IF(($E$17:$E$29-$D$17:$D$29)=0,1,($E$17:$E$29-$D$17:$D$29))&lt;$B$48,RM_Assumptions!B$24,IF((K$33-$D$17:$D$29)/IF(($E$17:$E$29-$D$17:$D$29)=0,1,($E$17:$E$29-$D$17:$D$29))&lt;$C$48,RM_Assumptions!C$24,IF((K$33-$D$17:$D$29)/IF(($E$17:$E$29-$D$17:$D$29)=0,1,($E$17:$E$29-$D$17:$D$29))&lt;$D$48,RM_Assumptions!D$24,IF((K$33-$D$17:$D$29)/IF(($E$17:$E$29-$D$17:$D$29)=0,1,($E$17:$E$29-$D$17:$D$29))&lt;$E$48,RM_Assumptions!E$24,IF((K$33-$D$17:$D$29)/IF(($E$17:$E$29-$D$17:$D$29)=0,1,($E$17:$E$29-$D$17:$D$29))&lt;$F$48,RM_Assumptions!F$24,RM_Assumptions!G$24)))))/IF($F$17:$F$29=0,1,$F$17:$F$29))/$F7)</f>
        <v>4.8828125E-2</v>
      </c>
      <c r="L35" s="213" cm="1">
        <f t="array" aca="1" ref="L35" ca="1">IF($F7=0,0,SUMPRODUCT(($A$17:$A$29&lt;&gt;"")*(L$33&gt;=$D$17:$D$29)*(L$33&lt;$E$17:$E$29)*$C$17:$C$29*$H$17:$H$29*IF((L$33-$D$17:$D$29)/IF(($E$17:$E$29-$D$17:$D$29)=0,1,($E$17:$E$29-$D$17:$D$29))&lt;$B$48,RM_Assumptions!B$24,IF((L$33-$D$17:$D$29)/IF(($E$17:$E$29-$D$17:$D$29)=0,1,($E$17:$E$29-$D$17:$D$29))&lt;$C$48,RM_Assumptions!C$24,IF((L$33-$D$17:$D$29)/IF(($E$17:$E$29-$D$17:$D$29)=0,1,($E$17:$E$29-$D$17:$D$29))&lt;$D$48,RM_Assumptions!D$24,IF((L$33-$D$17:$D$29)/IF(($E$17:$E$29-$D$17:$D$29)=0,1,($E$17:$E$29-$D$17:$D$29))&lt;$E$48,RM_Assumptions!E$24,IF((L$33-$D$17:$D$29)/IF(($E$17:$E$29-$D$17:$D$29)=0,1,($E$17:$E$29-$D$17:$D$29))&lt;$F$48,RM_Assumptions!F$24,RM_Assumptions!G$24)))))/IF($F$17:$F$29=0,1,$F$17:$F$29))/$F7)</f>
        <v>4.8828125E-2</v>
      </c>
      <c r="M35" s="213" cm="1">
        <f t="array" aca="1" ref="M35" ca="1">IF($F7=0,0,SUMPRODUCT(($A$17:$A$29&lt;&gt;"")*(M$33&gt;=$D$17:$D$29)*(M$33&lt;$E$17:$E$29)*$C$17:$C$29*$H$17:$H$29*IF((M$33-$D$17:$D$29)/IF(($E$17:$E$29-$D$17:$D$29)=0,1,($E$17:$E$29-$D$17:$D$29))&lt;$B$48,RM_Assumptions!B$24,IF((M$33-$D$17:$D$29)/IF(($E$17:$E$29-$D$17:$D$29)=0,1,($E$17:$E$29-$D$17:$D$29))&lt;$C$48,RM_Assumptions!C$24,IF((M$33-$D$17:$D$29)/IF(($E$17:$E$29-$D$17:$D$29)=0,1,($E$17:$E$29-$D$17:$D$29))&lt;$D$48,RM_Assumptions!D$24,IF((M$33-$D$17:$D$29)/IF(($E$17:$E$29-$D$17:$D$29)=0,1,($E$17:$E$29-$D$17:$D$29))&lt;$E$48,RM_Assumptions!E$24,IF((M$33-$D$17:$D$29)/IF(($E$17:$E$29-$D$17:$D$29)=0,1,($E$17:$E$29-$D$17:$D$29))&lt;$F$48,RM_Assumptions!F$24,RM_Assumptions!G$24)))))/IF($F$17:$F$29=0,1,$F$17:$F$29))/$F7)</f>
        <v>3.2552083333333329E-2</v>
      </c>
      <c r="N35" s="213" cm="1">
        <f t="array" aca="1" ref="N35" ca="1">IF($F7=0,0,SUMPRODUCT(($A$17:$A$29&lt;&gt;"")*(N$33&gt;=$D$17:$D$29)*(N$33&lt;$E$17:$E$29)*$C$17:$C$29*$H$17:$H$29*IF((N$33-$D$17:$D$29)/IF(($E$17:$E$29-$D$17:$D$29)=0,1,($E$17:$E$29-$D$17:$D$29))&lt;$B$48,RM_Assumptions!B$24,IF((N$33-$D$17:$D$29)/IF(($E$17:$E$29-$D$17:$D$29)=0,1,($E$17:$E$29-$D$17:$D$29))&lt;$C$48,RM_Assumptions!C$24,IF((N$33-$D$17:$D$29)/IF(($E$17:$E$29-$D$17:$D$29)=0,1,($E$17:$E$29-$D$17:$D$29))&lt;$D$48,RM_Assumptions!D$24,IF((N$33-$D$17:$D$29)/IF(($E$17:$E$29-$D$17:$D$29)=0,1,($E$17:$E$29-$D$17:$D$29))&lt;$E$48,RM_Assumptions!E$24,IF((N$33-$D$17:$D$29)/IF(($E$17:$E$29-$D$17:$D$29)=0,1,($E$17:$E$29-$D$17:$D$29))&lt;$F$48,RM_Assumptions!F$24,RM_Assumptions!G$24)))))/IF($F$17:$F$29=0,1,$F$17:$F$29))/$F7)</f>
        <v>3.2552083333333329E-2</v>
      </c>
      <c r="O35" s="213" cm="1">
        <f t="array" aca="1" ref="O35" ca="1">IF($F7=0,0,SUMPRODUCT(($A$17:$A$29&lt;&gt;"")*(O$33&gt;=$D$17:$D$29)*(O$33&lt;$E$17:$E$29)*$C$17:$C$29*$H$17:$H$29*IF((O$33-$D$17:$D$29)/IF(($E$17:$E$29-$D$17:$D$29)=0,1,($E$17:$E$29-$D$17:$D$29))&lt;$B$48,RM_Assumptions!B$24,IF((O$33-$D$17:$D$29)/IF(($E$17:$E$29-$D$17:$D$29)=0,1,($E$17:$E$29-$D$17:$D$29))&lt;$C$48,RM_Assumptions!C$24,IF((O$33-$D$17:$D$29)/IF(($E$17:$E$29-$D$17:$D$29)=0,1,($E$17:$E$29-$D$17:$D$29))&lt;$D$48,RM_Assumptions!D$24,IF((O$33-$D$17:$D$29)/IF(($E$17:$E$29-$D$17:$D$29)=0,1,($E$17:$E$29-$D$17:$D$29))&lt;$E$48,RM_Assumptions!E$24,IF((O$33-$D$17:$D$29)/IF(($E$17:$E$29-$D$17:$D$29)=0,1,($E$17:$E$29-$D$17:$D$29))&lt;$F$48,RM_Assumptions!F$24,RM_Assumptions!G$24)))))/IF($F$17:$F$29=0,1,$F$17:$F$29))/$F7)</f>
        <v>0</v>
      </c>
      <c r="P35" s="213" cm="1">
        <f t="array" aca="1" ref="P35" ca="1">IF($F7=0,0,SUMPRODUCT(($A$17:$A$29&lt;&gt;"")*(P$33&gt;=$D$17:$D$29)*(P$33&lt;$E$17:$E$29)*$C$17:$C$29*$H$17:$H$29*IF((P$33-$D$17:$D$29)/IF(($E$17:$E$29-$D$17:$D$29)=0,1,($E$17:$E$29-$D$17:$D$29))&lt;$B$48,RM_Assumptions!B$24,IF((P$33-$D$17:$D$29)/IF(($E$17:$E$29-$D$17:$D$29)=0,1,($E$17:$E$29-$D$17:$D$29))&lt;$C$48,RM_Assumptions!C$24,IF((P$33-$D$17:$D$29)/IF(($E$17:$E$29-$D$17:$D$29)=0,1,($E$17:$E$29-$D$17:$D$29))&lt;$D$48,RM_Assumptions!D$24,IF((P$33-$D$17:$D$29)/IF(($E$17:$E$29-$D$17:$D$29)=0,1,($E$17:$E$29-$D$17:$D$29))&lt;$E$48,RM_Assumptions!E$24,IF((P$33-$D$17:$D$29)/IF(($E$17:$E$29-$D$17:$D$29)=0,1,($E$17:$E$29-$D$17:$D$29))&lt;$F$48,RM_Assumptions!F$24,RM_Assumptions!G$24)))))/IF($F$17:$F$29=0,1,$F$17:$F$29))/$F7)</f>
        <v>0</v>
      </c>
      <c r="Q35" s="213" cm="1">
        <f t="array" aca="1" ref="Q35" ca="1">IF($F7=0,0,SUMPRODUCT(($A$17:$A$29&lt;&gt;"")*(Q$33&gt;=$D$17:$D$29)*(Q$33&lt;$E$17:$E$29)*$C$17:$C$29*$H$17:$H$29*IF((Q$33-$D$17:$D$29)/IF(($E$17:$E$29-$D$17:$D$29)=0,1,($E$17:$E$29-$D$17:$D$29))&lt;$B$48,RM_Assumptions!B$24,IF((Q$33-$D$17:$D$29)/IF(($E$17:$E$29-$D$17:$D$29)=0,1,($E$17:$E$29-$D$17:$D$29))&lt;$C$48,RM_Assumptions!C$24,IF((Q$33-$D$17:$D$29)/IF(($E$17:$E$29-$D$17:$D$29)=0,1,($E$17:$E$29-$D$17:$D$29))&lt;$D$48,RM_Assumptions!D$24,IF((Q$33-$D$17:$D$29)/IF(($E$17:$E$29-$D$17:$D$29)=0,1,($E$17:$E$29-$D$17:$D$29))&lt;$E$48,RM_Assumptions!E$24,IF((Q$33-$D$17:$D$29)/IF(($E$17:$E$29-$D$17:$D$29)=0,1,($E$17:$E$29-$D$17:$D$29))&lt;$F$48,RM_Assumptions!F$24,RM_Assumptions!G$24)))))/IF($F$17:$F$29=0,1,$F$17:$F$29))/$F7)</f>
        <v>0</v>
      </c>
    </row>
    <row r="36" spans="1:17">
      <c r="A36" s="176" t="s">
        <v>433</v>
      </c>
      <c r="B36" s="213" cm="1">
        <f t="array" aca="1" ref="B36" ca="1">IF($F8=0,0,SUMPRODUCT(($A$17:$A$29&lt;&gt;"")*(B$33&gt;=$D$17:$D$29)*(B$33&lt;$E$17:$E$29)*$C$17:$C$29*$I$17:$I$29*IF((B$33-$D$17:$D$29)/IF(($E$17:$E$29-$D$17:$D$29)=0,1,($E$17:$E$29-$D$17:$D$29))&lt;$B$48,RM_Assumptions!B$25,IF((B$33-$D$17:$D$29)/IF(($E$17:$E$29-$D$17:$D$29)=0,1,($E$17:$E$29-$D$17:$D$29))&lt;$C$48,RM_Assumptions!C$25,IF((B$33-$D$17:$D$29)/IF(($E$17:$E$29-$D$17:$D$29)=0,1,($E$17:$E$29-$D$17:$D$29))&lt;$D$48,RM_Assumptions!D$25,IF((B$33-$D$17:$D$29)/IF(($E$17:$E$29-$D$17:$D$29)=0,1,($E$17:$E$29-$D$17:$D$29))&lt;$E$48,RM_Assumptions!E$25,IF((B$33-$D$17:$D$29)/IF(($E$17:$E$29-$D$17:$D$29)=0,1,($E$17:$E$29-$D$17:$D$29))&lt;$F$48,RM_Assumptions!F$25,RM_Assumptions!G$25)))))/IF($F$17:$F$29=0,1,$F$17:$F$29))/$F8)</f>
        <v>2.5754716981132082E-2</v>
      </c>
      <c r="C36" s="213" cm="1">
        <f t="array" aca="1" ref="C36" ca="1">IF($F8=0,0,SUMPRODUCT(($A$17:$A$29&lt;&gt;"")*(C$33&gt;=$D$17:$D$29)*(C$33&lt;$E$17:$E$29)*$C$17:$C$29*$I$17:$I$29*IF((C$33-$D$17:$D$29)/IF(($E$17:$E$29-$D$17:$D$29)=0,1,($E$17:$E$29-$D$17:$D$29))&lt;$B$48,RM_Assumptions!B$25,IF((C$33-$D$17:$D$29)/IF(($E$17:$E$29-$D$17:$D$29)=0,1,($E$17:$E$29-$D$17:$D$29))&lt;$C$48,RM_Assumptions!C$25,IF((C$33-$D$17:$D$29)/IF(($E$17:$E$29-$D$17:$D$29)=0,1,($E$17:$E$29-$D$17:$D$29))&lt;$D$48,RM_Assumptions!D$25,IF((C$33-$D$17:$D$29)/IF(($E$17:$E$29-$D$17:$D$29)=0,1,($E$17:$E$29-$D$17:$D$29))&lt;$E$48,RM_Assumptions!E$25,IF((C$33-$D$17:$D$29)/IF(($E$17:$E$29-$D$17:$D$29)=0,1,($E$17:$E$29-$D$17:$D$29))&lt;$F$48,RM_Assumptions!F$25,RM_Assumptions!G$25)))))/IF($F$17:$F$29=0,1,$F$17:$F$29))/$F8)</f>
        <v>2.6428852201257864E-2</v>
      </c>
      <c r="D36" s="213" cm="1">
        <f t="array" aca="1" ref="D36" ca="1">IF($F8=0,0,SUMPRODUCT(($A$17:$A$29&lt;&gt;"")*(D$33&gt;=$D$17:$D$29)*(D$33&lt;$E$17:$E$29)*$C$17:$C$29*$I$17:$I$29*IF((D$33-$D$17:$D$29)/IF(($E$17:$E$29-$D$17:$D$29)=0,1,($E$17:$E$29-$D$17:$D$29))&lt;$B$48,RM_Assumptions!B$25,IF((D$33-$D$17:$D$29)/IF(($E$17:$E$29-$D$17:$D$29)=0,1,($E$17:$E$29-$D$17:$D$29))&lt;$C$48,RM_Assumptions!C$25,IF((D$33-$D$17:$D$29)/IF(($E$17:$E$29-$D$17:$D$29)=0,1,($E$17:$E$29-$D$17:$D$29))&lt;$D$48,RM_Assumptions!D$25,IF((D$33-$D$17:$D$29)/IF(($E$17:$E$29-$D$17:$D$29)=0,1,($E$17:$E$29-$D$17:$D$29))&lt;$E$48,RM_Assumptions!E$25,IF((D$33-$D$17:$D$29)/IF(($E$17:$E$29-$D$17:$D$29)=0,1,($E$17:$E$29-$D$17:$D$29))&lt;$F$48,RM_Assumptions!F$25,RM_Assumptions!G$25)))))/IF($F$17:$F$29=0,1,$F$17:$F$29))/$F8)</f>
        <v>4.3199685534591199E-2</v>
      </c>
      <c r="E36" s="213" cm="1">
        <f t="array" aca="1" ref="E36" ca="1">IF($F8=0,0,SUMPRODUCT(($A$17:$A$29&lt;&gt;"")*(E$33&gt;=$D$17:$D$29)*(E$33&lt;$E$17:$E$29)*$C$17:$C$29*$I$17:$I$29*IF((E$33-$D$17:$D$29)/IF(($E$17:$E$29-$D$17:$D$29)=0,1,($E$17:$E$29-$D$17:$D$29))&lt;$B$48,RM_Assumptions!B$25,IF((E$33-$D$17:$D$29)/IF(($E$17:$E$29-$D$17:$D$29)=0,1,($E$17:$E$29-$D$17:$D$29))&lt;$C$48,RM_Assumptions!C$25,IF((E$33-$D$17:$D$29)/IF(($E$17:$E$29-$D$17:$D$29)=0,1,($E$17:$E$29-$D$17:$D$29))&lt;$D$48,RM_Assumptions!D$25,IF((E$33-$D$17:$D$29)/IF(($E$17:$E$29-$D$17:$D$29)=0,1,($E$17:$E$29-$D$17:$D$29))&lt;$E$48,RM_Assumptions!E$25,IF((E$33-$D$17:$D$29)/IF(($E$17:$E$29-$D$17:$D$29)=0,1,($E$17:$E$29-$D$17:$D$29))&lt;$F$48,RM_Assumptions!F$25,RM_Assumptions!G$25)))))/IF($F$17:$F$29=0,1,$F$17:$F$29))/$F8)</f>
        <v>3.998034591194969E-2</v>
      </c>
      <c r="F36" s="213" cm="1">
        <f t="array" aca="1" ref="F36" ca="1">IF($F8=0,0,SUMPRODUCT(($A$17:$A$29&lt;&gt;"")*(F$33&gt;=$D$17:$D$29)*(F$33&lt;$E$17:$E$29)*$C$17:$C$29*$I$17:$I$29*IF((F$33-$D$17:$D$29)/IF(($E$17:$E$29-$D$17:$D$29)=0,1,($E$17:$E$29-$D$17:$D$29))&lt;$B$48,RM_Assumptions!B$25,IF((F$33-$D$17:$D$29)/IF(($E$17:$E$29-$D$17:$D$29)=0,1,($E$17:$E$29-$D$17:$D$29))&lt;$C$48,RM_Assumptions!C$25,IF((F$33-$D$17:$D$29)/IF(($E$17:$E$29-$D$17:$D$29)=0,1,($E$17:$E$29-$D$17:$D$29))&lt;$D$48,RM_Assumptions!D$25,IF((F$33-$D$17:$D$29)/IF(($E$17:$E$29-$D$17:$D$29)=0,1,($E$17:$E$29-$D$17:$D$29))&lt;$E$48,RM_Assumptions!E$25,IF((F$33-$D$17:$D$29)/IF(($E$17:$E$29-$D$17:$D$29)=0,1,($E$17:$E$29-$D$17:$D$29))&lt;$F$48,RM_Assumptions!F$25,RM_Assumptions!G$25)))))/IF($F$17:$F$29=0,1,$F$17:$F$29))/$F8)</f>
        <v>6.7083333333333342E-2</v>
      </c>
      <c r="G36" s="213" cm="1">
        <f t="array" aca="1" ref="G36" ca="1">IF($F8=0,0,SUMPRODUCT(($A$17:$A$29&lt;&gt;"")*(G$33&gt;=$D$17:$D$29)*(G$33&lt;$E$17:$E$29)*$C$17:$C$29*$I$17:$I$29*IF((G$33-$D$17:$D$29)/IF(($E$17:$E$29-$D$17:$D$29)=0,1,($E$17:$E$29-$D$17:$D$29))&lt;$B$48,RM_Assumptions!B$25,IF((G$33-$D$17:$D$29)/IF(($E$17:$E$29-$D$17:$D$29)=0,1,($E$17:$E$29-$D$17:$D$29))&lt;$C$48,RM_Assumptions!C$25,IF((G$33-$D$17:$D$29)/IF(($E$17:$E$29-$D$17:$D$29)=0,1,($E$17:$E$29-$D$17:$D$29))&lt;$D$48,RM_Assumptions!D$25,IF((G$33-$D$17:$D$29)/IF(($E$17:$E$29-$D$17:$D$29)=0,1,($E$17:$E$29-$D$17:$D$29))&lt;$E$48,RM_Assumptions!E$25,IF((G$33-$D$17:$D$29)/IF(($E$17:$E$29-$D$17:$D$29)=0,1,($E$17:$E$29-$D$17:$D$29))&lt;$F$48,RM_Assumptions!F$25,RM_Assumptions!G$25)))))/IF($F$17:$F$29=0,1,$F$17:$F$29))/$F8)</f>
        <v>0.13416666666666668</v>
      </c>
      <c r="H36" s="213" cm="1">
        <f t="array" aca="1" ref="H36" ca="1">IF($F8=0,0,SUMPRODUCT(($A$17:$A$29&lt;&gt;"")*(H$33&gt;=$D$17:$D$29)*(H$33&lt;$E$17:$E$29)*$C$17:$C$29*$I$17:$I$29*IF((H$33-$D$17:$D$29)/IF(($E$17:$E$29-$D$17:$D$29)=0,1,($E$17:$E$29-$D$17:$D$29))&lt;$B$48,RM_Assumptions!B$25,IF((H$33-$D$17:$D$29)/IF(($E$17:$E$29-$D$17:$D$29)=0,1,($E$17:$E$29-$D$17:$D$29))&lt;$C$48,RM_Assumptions!C$25,IF((H$33-$D$17:$D$29)/IF(($E$17:$E$29-$D$17:$D$29)=0,1,($E$17:$E$29-$D$17:$D$29))&lt;$D$48,RM_Assumptions!D$25,IF((H$33-$D$17:$D$29)/IF(($E$17:$E$29-$D$17:$D$29)=0,1,($E$17:$E$29-$D$17:$D$29))&lt;$E$48,RM_Assumptions!E$25,IF((H$33-$D$17:$D$29)/IF(($E$17:$E$29-$D$17:$D$29)=0,1,($E$17:$E$29-$D$17:$D$29))&lt;$F$48,RM_Assumptions!F$25,RM_Assumptions!G$25)))))/IF($F$17:$F$29=0,1,$F$17:$F$29))/$F8)</f>
        <v>0.13416666666666668</v>
      </c>
      <c r="I36" s="213" cm="1">
        <f t="array" aca="1" ref="I36" ca="1">IF($F8=0,0,SUMPRODUCT(($A$17:$A$29&lt;&gt;"")*(I$33&gt;=$D$17:$D$29)*(I$33&lt;$E$17:$E$29)*$C$17:$C$29*$I$17:$I$29*IF((I$33-$D$17:$D$29)/IF(($E$17:$E$29-$D$17:$D$29)=0,1,($E$17:$E$29-$D$17:$D$29))&lt;$B$48,RM_Assumptions!B$25,IF((I$33-$D$17:$D$29)/IF(($E$17:$E$29-$D$17:$D$29)=0,1,($E$17:$E$29-$D$17:$D$29))&lt;$C$48,RM_Assumptions!C$25,IF((I$33-$D$17:$D$29)/IF(($E$17:$E$29-$D$17:$D$29)=0,1,($E$17:$E$29-$D$17:$D$29))&lt;$D$48,RM_Assumptions!D$25,IF((I$33-$D$17:$D$29)/IF(($E$17:$E$29-$D$17:$D$29)=0,1,($E$17:$E$29-$D$17:$D$29))&lt;$E$48,RM_Assumptions!E$25,IF((I$33-$D$17:$D$29)/IF(($E$17:$E$29-$D$17:$D$29)=0,1,($E$17:$E$29-$D$17:$D$29))&lt;$F$48,RM_Assumptions!F$25,RM_Assumptions!G$25)))))/IF($F$17:$F$29=0,1,$F$17:$F$29))/$F8)</f>
        <v>0.13416666666666668</v>
      </c>
      <c r="J36" s="213" cm="1">
        <f t="array" aca="1" ref="J36" ca="1">IF($F8=0,0,SUMPRODUCT(($A$17:$A$29&lt;&gt;"")*(J$33&gt;=$D$17:$D$29)*(J$33&lt;$E$17:$E$29)*$C$17:$C$29*$I$17:$I$29*IF((J$33-$D$17:$D$29)/IF(($E$17:$E$29-$D$17:$D$29)=0,1,($E$17:$E$29-$D$17:$D$29))&lt;$B$48,RM_Assumptions!B$25,IF((J$33-$D$17:$D$29)/IF(($E$17:$E$29-$D$17:$D$29)=0,1,($E$17:$E$29-$D$17:$D$29))&lt;$C$48,RM_Assumptions!C$25,IF((J$33-$D$17:$D$29)/IF(($E$17:$E$29-$D$17:$D$29)=0,1,($E$17:$E$29-$D$17:$D$29))&lt;$D$48,RM_Assumptions!D$25,IF((J$33-$D$17:$D$29)/IF(($E$17:$E$29-$D$17:$D$29)=0,1,($E$17:$E$29-$D$17:$D$29))&lt;$E$48,RM_Assumptions!E$25,IF((J$33-$D$17:$D$29)/IF(($E$17:$E$29-$D$17:$D$29)=0,1,($E$17:$E$29-$D$17:$D$29))&lt;$F$48,RM_Assumptions!F$25,RM_Assumptions!G$25)))))/IF($F$17:$F$29=0,1,$F$17:$F$29))/$F8)</f>
        <v>0.13416666666666668</v>
      </c>
      <c r="K36" s="213" cm="1">
        <f t="array" aca="1" ref="K36" ca="1">IF($F8=0,0,SUMPRODUCT(($A$17:$A$29&lt;&gt;"")*(K$33&gt;=$D$17:$D$29)*(K$33&lt;$E$17:$E$29)*$C$17:$C$29*$I$17:$I$29*IF((K$33-$D$17:$D$29)/IF(($E$17:$E$29-$D$17:$D$29)=0,1,($E$17:$E$29-$D$17:$D$29))&lt;$B$48,RM_Assumptions!B$25,IF((K$33-$D$17:$D$29)/IF(($E$17:$E$29-$D$17:$D$29)=0,1,($E$17:$E$29-$D$17:$D$29))&lt;$C$48,RM_Assumptions!C$25,IF((K$33-$D$17:$D$29)/IF(($E$17:$E$29-$D$17:$D$29)=0,1,($E$17:$E$29-$D$17:$D$29))&lt;$D$48,RM_Assumptions!D$25,IF((K$33-$D$17:$D$29)/IF(($E$17:$E$29-$D$17:$D$29)=0,1,($E$17:$E$29-$D$17:$D$29))&lt;$E$48,RM_Assumptions!E$25,IF((K$33-$D$17:$D$29)/IF(($E$17:$E$29-$D$17:$D$29)=0,1,($E$17:$E$29-$D$17:$D$29))&lt;$F$48,RM_Assumptions!F$25,RM_Assumptions!G$25)))))/IF($F$17:$F$29=0,1,$F$17:$F$29))/$F8)</f>
        <v>5.0312500000000003E-2</v>
      </c>
      <c r="L36" s="213" cm="1">
        <f t="array" aca="1" ref="L36" ca="1">IF($F8=0,0,SUMPRODUCT(($A$17:$A$29&lt;&gt;"")*(L$33&gt;=$D$17:$D$29)*(L$33&lt;$E$17:$E$29)*$C$17:$C$29*$I$17:$I$29*IF((L$33-$D$17:$D$29)/IF(($E$17:$E$29-$D$17:$D$29)=0,1,($E$17:$E$29-$D$17:$D$29))&lt;$B$48,RM_Assumptions!B$25,IF((L$33-$D$17:$D$29)/IF(($E$17:$E$29-$D$17:$D$29)=0,1,($E$17:$E$29-$D$17:$D$29))&lt;$C$48,RM_Assumptions!C$25,IF((L$33-$D$17:$D$29)/IF(($E$17:$E$29-$D$17:$D$29)=0,1,($E$17:$E$29-$D$17:$D$29))&lt;$D$48,RM_Assumptions!D$25,IF((L$33-$D$17:$D$29)/IF(($E$17:$E$29-$D$17:$D$29)=0,1,($E$17:$E$29-$D$17:$D$29))&lt;$E$48,RM_Assumptions!E$25,IF((L$33-$D$17:$D$29)/IF(($E$17:$E$29-$D$17:$D$29)=0,1,($E$17:$E$29-$D$17:$D$29))&lt;$F$48,RM_Assumptions!F$25,RM_Assumptions!G$25)))))/IF($F$17:$F$29=0,1,$F$17:$F$29))/$F8)</f>
        <v>5.0312500000000003E-2</v>
      </c>
      <c r="M36" s="213" cm="1">
        <f t="array" aca="1" ref="M36" ca="1">IF($F8=0,0,SUMPRODUCT(($A$17:$A$29&lt;&gt;"")*(M$33&gt;=$D$17:$D$29)*(M$33&lt;$E$17:$E$29)*$C$17:$C$29*$I$17:$I$29*IF((M$33-$D$17:$D$29)/IF(($E$17:$E$29-$D$17:$D$29)=0,1,($E$17:$E$29-$D$17:$D$29))&lt;$B$48,RM_Assumptions!B$25,IF((M$33-$D$17:$D$29)/IF(($E$17:$E$29-$D$17:$D$29)=0,1,($E$17:$E$29-$D$17:$D$29))&lt;$C$48,RM_Assumptions!C$25,IF((M$33-$D$17:$D$29)/IF(($E$17:$E$29-$D$17:$D$29)=0,1,($E$17:$E$29-$D$17:$D$29))&lt;$D$48,RM_Assumptions!D$25,IF((M$33-$D$17:$D$29)/IF(($E$17:$E$29-$D$17:$D$29)=0,1,($E$17:$E$29-$D$17:$D$29))&lt;$E$48,RM_Assumptions!E$25,IF((M$33-$D$17:$D$29)/IF(($E$17:$E$29-$D$17:$D$29)=0,1,($E$17:$E$29-$D$17:$D$29))&lt;$F$48,RM_Assumptions!F$25,RM_Assumptions!G$25)))))/IF($F$17:$F$29=0,1,$F$17:$F$29))/$F8)</f>
        <v>3.3541666666666671E-2</v>
      </c>
      <c r="N36" s="213" cm="1">
        <f t="array" aca="1" ref="N36" ca="1">IF($F8=0,0,SUMPRODUCT(($A$17:$A$29&lt;&gt;"")*(N$33&gt;=$D$17:$D$29)*(N$33&lt;$E$17:$E$29)*$C$17:$C$29*$I$17:$I$29*IF((N$33-$D$17:$D$29)/IF(($E$17:$E$29-$D$17:$D$29)=0,1,($E$17:$E$29-$D$17:$D$29))&lt;$B$48,RM_Assumptions!B$25,IF((N$33-$D$17:$D$29)/IF(($E$17:$E$29-$D$17:$D$29)=0,1,($E$17:$E$29-$D$17:$D$29))&lt;$C$48,RM_Assumptions!C$25,IF((N$33-$D$17:$D$29)/IF(($E$17:$E$29-$D$17:$D$29)=0,1,($E$17:$E$29-$D$17:$D$29))&lt;$D$48,RM_Assumptions!D$25,IF((N$33-$D$17:$D$29)/IF(($E$17:$E$29-$D$17:$D$29)=0,1,($E$17:$E$29-$D$17:$D$29))&lt;$E$48,RM_Assumptions!E$25,IF((N$33-$D$17:$D$29)/IF(($E$17:$E$29-$D$17:$D$29)=0,1,($E$17:$E$29-$D$17:$D$29))&lt;$F$48,RM_Assumptions!F$25,RM_Assumptions!G$25)))))/IF($F$17:$F$29=0,1,$F$17:$F$29))/$F8)</f>
        <v>3.3541666666666671E-2</v>
      </c>
      <c r="O36" s="213" cm="1">
        <f t="array" aca="1" ref="O36" ca="1">IF($F8=0,0,SUMPRODUCT(($A$17:$A$29&lt;&gt;"")*(O$33&gt;=$D$17:$D$29)*(O$33&lt;$E$17:$E$29)*$C$17:$C$29*$I$17:$I$29*IF((O$33-$D$17:$D$29)/IF(($E$17:$E$29-$D$17:$D$29)=0,1,($E$17:$E$29-$D$17:$D$29))&lt;$B$48,RM_Assumptions!B$25,IF((O$33-$D$17:$D$29)/IF(($E$17:$E$29-$D$17:$D$29)=0,1,($E$17:$E$29-$D$17:$D$29))&lt;$C$48,RM_Assumptions!C$25,IF((O$33-$D$17:$D$29)/IF(($E$17:$E$29-$D$17:$D$29)=0,1,($E$17:$E$29-$D$17:$D$29))&lt;$D$48,RM_Assumptions!D$25,IF((O$33-$D$17:$D$29)/IF(($E$17:$E$29-$D$17:$D$29)=0,1,($E$17:$E$29-$D$17:$D$29))&lt;$E$48,RM_Assumptions!E$25,IF((O$33-$D$17:$D$29)/IF(($E$17:$E$29-$D$17:$D$29)=0,1,($E$17:$E$29-$D$17:$D$29))&lt;$F$48,RM_Assumptions!F$25,RM_Assumptions!G$25)))))/IF($F$17:$F$29=0,1,$F$17:$F$29))/$F8)</f>
        <v>0</v>
      </c>
      <c r="P36" s="213" cm="1">
        <f t="array" aca="1" ref="P36" ca="1">IF($F8=0,0,SUMPRODUCT(($A$17:$A$29&lt;&gt;"")*(P$33&gt;=$D$17:$D$29)*(P$33&lt;$E$17:$E$29)*$C$17:$C$29*$I$17:$I$29*IF((P$33-$D$17:$D$29)/IF(($E$17:$E$29-$D$17:$D$29)=0,1,($E$17:$E$29-$D$17:$D$29))&lt;$B$48,RM_Assumptions!B$25,IF((P$33-$D$17:$D$29)/IF(($E$17:$E$29-$D$17:$D$29)=0,1,($E$17:$E$29-$D$17:$D$29))&lt;$C$48,RM_Assumptions!C$25,IF((P$33-$D$17:$D$29)/IF(($E$17:$E$29-$D$17:$D$29)=0,1,($E$17:$E$29-$D$17:$D$29))&lt;$D$48,RM_Assumptions!D$25,IF((P$33-$D$17:$D$29)/IF(($E$17:$E$29-$D$17:$D$29)=0,1,($E$17:$E$29-$D$17:$D$29))&lt;$E$48,RM_Assumptions!E$25,IF((P$33-$D$17:$D$29)/IF(($E$17:$E$29-$D$17:$D$29)=0,1,($E$17:$E$29-$D$17:$D$29))&lt;$F$48,RM_Assumptions!F$25,RM_Assumptions!G$25)))))/IF($F$17:$F$29=0,1,$F$17:$F$29))/$F8)</f>
        <v>0</v>
      </c>
      <c r="Q36" s="213" cm="1">
        <f t="array" aca="1" ref="Q36" ca="1">IF($F8=0,0,SUMPRODUCT(($A$17:$A$29&lt;&gt;"")*(Q$33&gt;=$D$17:$D$29)*(Q$33&lt;$E$17:$E$29)*$C$17:$C$29*$I$17:$I$29*IF((Q$33-$D$17:$D$29)/IF(($E$17:$E$29-$D$17:$D$29)=0,1,($E$17:$E$29-$D$17:$D$29))&lt;$B$48,RM_Assumptions!B$25,IF((Q$33-$D$17:$D$29)/IF(($E$17:$E$29-$D$17:$D$29)=0,1,($E$17:$E$29-$D$17:$D$29))&lt;$C$48,RM_Assumptions!C$25,IF((Q$33-$D$17:$D$29)/IF(($E$17:$E$29-$D$17:$D$29)=0,1,($E$17:$E$29-$D$17:$D$29))&lt;$D$48,RM_Assumptions!D$25,IF((Q$33-$D$17:$D$29)/IF(($E$17:$E$29-$D$17:$D$29)=0,1,($E$17:$E$29-$D$17:$D$29))&lt;$E$48,RM_Assumptions!E$25,IF((Q$33-$D$17:$D$29)/IF(($E$17:$E$29-$D$17:$D$29)=0,1,($E$17:$E$29-$D$17:$D$29))&lt;$F$48,RM_Assumptions!F$25,RM_Assumptions!G$25)))))/IF($F$17:$F$29=0,1,$F$17:$F$29))/$F8)</f>
        <v>0</v>
      </c>
    </row>
    <row r="37" spans="1:17">
      <c r="A37" s="176" t="s">
        <v>82</v>
      </c>
      <c r="B37" s="213" cm="1">
        <f t="array" aca="1" ref="B37" ca="1">IF($F9=0,0,SUMPRODUCT(($A$17:$A$29&lt;&gt;"")*(B$33&gt;=$D$17:$D$29)*(B$33&lt;$E$17:$E$29)*$C$17:$C$29*$J$17:$J$29*IF((B$33-$D$17:$D$29)/IF(($E$17:$E$29-$D$17:$D$29)=0,1,($E$17:$E$29-$D$17:$D$29))&lt;$B$48,RM_Assumptions!B$26,IF((B$33-$D$17:$D$29)/IF(($E$17:$E$29-$D$17:$D$29)=0,1,($E$17:$E$29-$D$17:$D$29))&lt;$C$48,RM_Assumptions!C$26,IF((B$33-$D$17:$D$29)/IF(($E$17:$E$29-$D$17:$D$29)=0,1,($E$17:$E$29-$D$17:$D$29))&lt;$D$48,RM_Assumptions!D$26,IF((B$33-$D$17:$D$29)/IF(($E$17:$E$29-$D$17:$D$29)=0,1,($E$17:$E$29-$D$17:$D$29))&lt;$E$48,RM_Assumptions!E$26,IF((B$33-$D$17:$D$29)/IF(($E$17:$E$29-$D$17:$D$29)=0,1,($E$17:$E$29-$D$17:$D$29))&lt;$F$48,RM_Assumptions!F$26,RM_Assumptions!G$26)))))/IF($F$17:$F$29=0,1,$F$17:$F$29))/$F9)</f>
        <v>4.1534810126582278E-2</v>
      </c>
      <c r="C37" s="213" cm="1">
        <f t="array" aca="1" ref="C37" ca="1">IF($F9=0,0,SUMPRODUCT(($A$17:$A$29&lt;&gt;"")*(C$33&gt;=$D$17:$D$29)*(C$33&lt;$E$17:$E$29)*$C$17:$C$29*$J$17:$J$29*IF((C$33-$D$17:$D$29)/IF(($E$17:$E$29-$D$17:$D$29)=0,1,($E$17:$E$29-$D$17:$D$29))&lt;$B$48,RM_Assumptions!B$26,IF((C$33-$D$17:$D$29)/IF(($E$17:$E$29-$D$17:$D$29)=0,1,($E$17:$E$29-$D$17:$D$29))&lt;$C$48,RM_Assumptions!C$26,IF((C$33-$D$17:$D$29)/IF(($E$17:$E$29-$D$17:$D$29)=0,1,($E$17:$E$29-$D$17:$D$29))&lt;$D$48,RM_Assumptions!D$26,IF((C$33-$D$17:$D$29)/IF(($E$17:$E$29-$D$17:$D$29)=0,1,($E$17:$E$29-$D$17:$D$29))&lt;$E$48,RM_Assumptions!E$26,IF((C$33-$D$17:$D$29)/IF(($E$17:$E$29-$D$17:$D$29)=0,1,($E$17:$E$29-$D$17:$D$29))&lt;$F$48,RM_Assumptions!F$26,RM_Assumptions!G$26)))))/IF($F$17:$F$29=0,1,$F$17:$F$29))/$F9)</f>
        <v>4.1534810126582278E-2</v>
      </c>
      <c r="D37" s="213" cm="1">
        <f t="array" aca="1" ref="D37" ca="1">IF($F9=0,0,SUMPRODUCT(($A$17:$A$29&lt;&gt;"")*(D$33&gt;=$D$17:$D$29)*(D$33&lt;$E$17:$E$29)*$C$17:$C$29*$J$17:$J$29*IF((D$33-$D$17:$D$29)/IF(($E$17:$E$29-$D$17:$D$29)=0,1,($E$17:$E$29-$D$17:$D$29))&lt;$B$48,RM_Assumptions!B$26,IF((D$33-$D$17:$D$29)/IF(($E$17:$E$29-$D$17:$D$29)=0,1,($E$17:$E$29-$D$17:$D$29))&lt;$C$48,RM_Assumptions!C$26,IF((D$33-$D$17:$D$29)/IF(($E$17:$E$29-$D$17:$D$29)=0,1,($E$17:$E$29-$D$17:$D$29))&lt;$D$48,RM_Assumptions!D$26,IF((D$33-$D$17:$D$29)/IF(($E$17:$E$29-$D$17:$D$29)=0,1,($E$17:$E$29-$D$17:$D$29))&lt;$E$48,RM_Assumptions!E$26,IF((D$33-$D$17:$D$29)/IF(($E$17:$E$29-$D$17:$D$29)=0,1,($E$17:$E$29-$D$17:$D$29))&lt;$F$48,RM_Assumptions!F$26,RM_Assumptions!G$26)))))/IF($F$17:$F$29=0,1,$F$17:$F$29))/$F9)</f>
        <v>3.4061840717299577E-2</v>
      </c>
      <c r="E37" s="213" cm="1">
        <f t="array" aca="1" ref="E37" ca="1">IF($F9=0,0,SUMPRODUCT(($A$17:$A$29&lt;&gt;"")*(E$33&gt;=$D$17:$D$29)*(E$33&lt;$E$17:$E$29)*$C$17:$C$29*$J$17:$J$29*IF((E$33-$D$17:$D$29)/IF(($E$17:$E$29-$D$17:$D$29)=0,1,($E$17:$E$29-$D$17:$D$29))&lt;$B$48,RM_Assumptions!B$26,IF((E$33-$D$17:$D$29)/IF(($E$17:$E$29-$D$17:$D$29)=0,1,($E$17:$E$29-$D$17:$D$29))&lt;$C$48,RM_Assumptions!C$26,IF((E$33-$D$17:$D$29)/IF(($E$17:$E$29-$D$17:$D$29)=0,1,($E$17:$E$29-$D$17:$D$29))&lt;$D$48,RM_Assumptions!D$26,IF((E$33-$D$17:$D$29)/IF(($E$17:$E$29-$D$17:$D$29)=0,1,($E$17:$E$29-$D$17:$D$29))&lt;$E$48,RM_Assumptions!E$26,IF((E$33-$D$17:$D$29)/IF(($E$17:$E$29-$D$17:$D$29)=0,1,($E$17:$E$29-$D$17:$D$29))&lt;$F$48,RM_Assumptions!F$26,RM_Assumptions!G$26)))))/IF($F$17:$F$29=0,1,$F$17:$F$29))/$F9)</f>
        <v>3.4061840717299577E-2</v>
      </c>
      <c r="F37" s="213" cm="1">
        <f t="array" aca="1" ref="F37" ca="1">IF($F9=0,0,SUMPRODUCT(($A$17:$A$29&lt;&gt;"")*(F$33&gt;=$D$17:$D$29)*(F$33&lt;$E$17:$E$29)*$C$17:$C$29*$J$17:$J$29*IF((F$33-$D$17:$D$29)/IF(($E$17:$E$29-$D$17:$D$29)=0,1,($E$17:$E$29-$D$17:$D$29))&lt;$B$48,RM_Assumptions!B$26,IF((F$33-$D$17:$D$29)/IF(($E$17:$E$29-$D$17:$D$29)=0,1,($E$17:$E$29-$D$17:$D$29))&lt;$C$48,RM_Assumptions!C$26,IF((F$33-$D$17:$D$29)/IF(($E$17:$E$29-$D$17:$D$29)=0,1,($E$17:$E$29-$D$17:$D$29))&lt;$D$48,RM_Assumptions!D$26,IF((F$33-$D$17:$D$29)/IF(($E$17:$E$29-$D$17:$D$29)=0,1,($E$17:$E$29-$D$17:$D$29))&lt;$E$48,RM_Assumptions!E$26,IF((F$33-$D$17:$D$29)/IF(($E$17:$E$29-$D$17:$D$29)=0,1,($E$17:$E$29-$D$17:$D$29))&lt;$F$48,RM_Assumptions!F$26,RM_Assumptions!G$26)))))/IF($F$17:$F$29=0,1,$F$17:$F$29))/$F9)</f>
        <v>5.1509757383966244E-2</v>
      </c>
      <c r="G37" s="213" cm="1">
        <f t="array" aca="1" ref="G37" ca="1">IF($F9=0,0,SUMPRODUCT(($A$17:$A$29&lt;&gt;"")*(G$33&gt;=$D$17:$D$29)*(G$33&lt;$E$17:$E$29)*$C$17:$C$29*$J$17:$J$29*IF((G$33-$D$17:$D$29)/IF(($E$17:$E$29-$D$17:$D$29)=0,1,($E$17:$E$29-$D$17:$D$29))&lt;$B$48,RM_Assumptions!B$26,IF((G$33-$D$17:$D$29)/IF(($E$17:$E$29-$D$17:$D$29)=0,1,($E$17:$E$29-$D$17:$D$29))&lt;$C$48,RM_Assumptions!C$26,IF((G$33-$D$17:$D$29)/IF(($E$17:$E$29-$D$17:$D$29)=0,1,($E$17:$E$29-$D$17:$D$29))&lt;$D$48,RM_Assumptions!D$26,IF((G$33-$D$17:$D$29)/IF(($E$17:$E$29-$D$17:$D$29)=0,1,($E$17:$E$29-$D$17:$D$29))&lt;$E$48,RM_Assumptions!E$26,IF((G$33-$D$17:$D$29)/IF(($E$17:$E$29-$D$17:$D$29)=0,1,($E$17:$E$29-$D$17:$D$29))&lt;$F$48,RM_Assumptions!F$26,RM_Assumptions!G$26)))))/IF($F$17:$F$29=0,1,$F$17:$F$29))/$F9)</f>
        <v>0.17447916666666669</v>
      </c>
      <c r="H37" s="213" cm="1">
        <f t="array" aca="1" ref="H37" ca="1">IF($F9=0,0,SUMPRODUCT(($A$17:$A$29&lt;&gt;"")*(H$33&gt;=$D$17:$D$29)*(H$33&lt;$E$17:$E$29)*$C$17:$C$29*$J$17:$J$29*IF((H$33-$D$17:$D$29)/IF(($E$17:$E$29-$D$17:$D$29)=0,1,($E$17:$E$29-$D$17:$D$29))&lt;$B$48,RM_Assumptions!B$26,IF((H$33-$D$17:$D$29)/IF(($E$17:$E$29-$D$17:$D$29)=0,1,($E$17:$E$29-$D$17:$D$29))&lt;$C$48,RM_Assumptions!C$26,IF((H$33-$D$17:$D$29)/IF(($E$17:$E$29-$D$17:$D$29)=0,1,($E$17:$E$29-$D$17:$D$29))&lt;$D$48,RM_Assumptions!D$26,IF((H$33-$D$17:$D$29)/IF(($E$17:$E$29-$D$17:$D$29)=0,1,($E$17:$E$29-$D$17:$D$29))&lt;$E$48,RM_Assumptions!E$26,IF((H$33-$D$17:$D$29)/IF(($E$17:$E$29-$D$17:$D$29)=0,1,($E$17:$E$29-$D$17:$D$29))&lt;$F$48,RM_Assumptions!F$26,RM_Assumptions!G$26)))))/IF($F$17:$F$29=0,1,$F$17:$F$29))/$F9)</f>
        <v>0.17447916666666669</v>
      </c>
      <c r="I37" s="213" cm="1">
        <f t="array" aca="1" ref="I37" ca="1">IF($F9=0,0,SUMPRODUCT(($A$17:$A$29&lt;&gt;"")*(I$33&gt;=$D$17:$D$29)*(I$33&lt;$E$17:$E$29)*$C$17:$C$29*$J$17:$J$29*IF((I$33-$D$17:$D$29)/IF(($E$17:$E$29-$D$17:$D$29)=0,1,($E$17:$E$29-$D$17:$D$29))&lt;$B$48,RM_Assumptions!B$26,IF((I$33-$D$17:$D$29)/IF(($E$17:$E$29-$D$17:$D$29)=0,1,($E$17:$E$29-$D$17:$D$29))&lt;$C$48,RM_Assumptions!C$26,IF((I$33-$D$17:$D$29)/IF(($E$17:$E$29-$D$17:$D$29)=0,1,($E$17:$E$29-$D$17:$D$29))&lt;$D$48,RM_Assumptions!D$26,IF((I$33-$D$17:$D$29)/IF(($E$17:$E$29-$D$17:$D$29)=0,1,($E$17:$E$29-$D$17:$D$29))&lt;$E$48,RM_Assumptions!E$26,IF((I$33-$D$17:$D$29)/IF(($E$17:$E$29-$D$17:$D$29)=0,1,($E$17:$E$29-$D$17:$D$29))&lt;$F$48,RM_Assumptions!F$26,RM_Assumptions!G$26)))))/IF($F$17:$F$29=0,1,$F$17:$F$29))/$F9)</f>
        <v>0.17447916666666669</v>
      </c>
      <c r="J37" s="213" cm="1">
        <f t="array" aca="1" ref="J37" ca="1">IF($F9=0,0,SUMPRODUCT(($A$17:$A$29&lt;&gt;"")*(J$33&gt;=$D$17:$D$29)*(J$33&lt;$E$17:$E$29)*$C$17:$C$29*$J$17:$J$29*IF((J$33-$D$17:$D$29)/IF(($E$17:$E$29-$D$17:$D$29)=0,1,($E$17:$E$29-$D$17:$D$29))&lt;$B$48,RM_Assumptions!B$26,IF((J$33-$D$17:$D$29)/IF(($E$17:$E$29-$D$17:$D$29)=0,1,($E$17:$E$29-$D$17:$D$29))&lt;$C$48,RM_Assumptions!C$26,IF((J$33-$D$17:$D$29)/IF(($E$17:$E$29-$D$17:$D$29)=0,1,($E$17:$E$29-$D$17:$D$29))&lt;$D$48,RM_Assumptions!D$26,IF((J$33-$D$17:$D$29)/IF(($E$17:$E$29-$D$17:$D$29)=0,1,($E$17:$E$29-$D$17:$D$29))&lt;$E$48,RM_Assumptions!E$26,IF((J$33-$D$17:$D$29)/IF(($E$17:$E$29-$D$17:$D$29)=0,1,($E$17:$E$29-$D$17:$D$29))&lt;$F$48,RM_Assumptions!F$26,RM_Assumptions!G$26)))))/IF($F$17:$F$29=0,1,$F$17:$F$29))/$F9)</f>
        <v>0.17447916666666669</v>
      </c>
      <c r="K37" s="213" cm="1">
        <f t="array" aca="1" ref="K37" ca="1">IF($F9=0,0,SUMPRODUCT(($A$17:$A$29&lt;&gt;"")*(K$33&gt;=$D$17:$D$29)*(K$33&lt;$E$17:$E$29)*$C$17:$C$29*$J$17:$J$29*IF((K$33-$D$17:$D$29)/IF(($E$17:$E$29-$D$17:$D$29)=0,1,($E$17:$E$29-$D$17:$D$29))&lt;$B$48,RM_Assumptions!B$26,IF((K$33-$D$17:$D$29)/IF(($E$17:$E$29-$D$17:$D$29)=0,1,($E$17:$E$29-$D$17:$D$29))&lt;$C$48,RM_Assumptions!C$26,IF((K$33-$D$17:$D$29)/IF(($E$17:$E$29-$D$17:$D$29)=0,1,($E$17:$E$29-$D$17:$D$29))&lt;$D$48,RM_Assumptions!D$26,IF((K$33-$D$17:$D$29)/IF(($E$17:$E$29-$D$17:$D$29)=0,1,($E$17:$E$29-$D$17:$D$29))&lt;$E$48,RM_Assumptions!E$26,IF((K$33-$D$17:$D$29)/IF(($E$17:$E$29-$D$17:$D$29)=0,1,($E$17:$E$29-$D$17:$D$29))&lt;$F$48,RM_Assumptions!F$26,RM_Assumptions!G$26)))))/IF($F$17:$F$29=0,1,$F$17:$F$29))/$F9)</f>
        <v>8.7239583333333343E-2</v>
      </c>
      <c r="L37" s="213" cm="1">
        <f t="array" aca="1" ref="L37" ca="1">IF($F9=0,0,SUMPRODUCT(($A$17:$A$29&lt;&gt;"")*(L$33&gt;=$D$17:$D$29)*(L$33&lt;$E$17:$E$29)*$C$17:$C$29*$J$17:$J$29*IF((L$33-$D$17:$D$29)/IF(($E$17:$E$29-$D$17:$D$29)=0,1,($E$17:$E$29-$D$17:$D$29))&lt;$B$48,RM_Assumptions!B$26,IF((L$33-$D$17:$D$29)/IF(($E$17:$E$29-$D$17:$D$29)=0,1,($E$17:$E$29-$D$17:$D$29))&lt;$C$48,RM_Assumptions!C$26,IF((L$33-$D$17:$D$29)/IF(($E$17:$E$29-$D$17:$D$29)=0,1,($E$17:$E$29-$D$17:$D$29))&lt;$D$48,RM_Assumptions!D$26,IF((L$33-$D$17:$D$29)/IF(($E$17:$E$29-$D$17:$D$29)=0,1,($E$17:$E$29-$D$17:$D$29))&lt;$E$48,RM_Assumptions!E$26,IF((L$33-$D$17:$D$29)/IF(($E$17:$E$29-$D$17:$D$29)=0,1,($E$17:$E$29-$D$17:$D$29))&lt;$F$48,RM_Assumptions!F$26,RM_Assumptions!G$26)))))/IF($F$17:$F$29=0,1,$F$17:$F$29))/$F9)</f>
        <v>8.7239583333333343E-2</v>
      </c>
      <c r="M37" s="213" cm="1">
        <f t="array" aca="1" ref="M37" ca="1">IF($F9=0,0,SUMPRODUCT(($A$17:$A$29&lt;&gt;"")*(M$33&gt;=$D$17:$D$29)*(M$33&lt;$E$17:$E$29)*$C$17:$C$29*$J$17:$J$29*IF((M$33-$D$17:$D$29)/IF(($E$17:$E$29-$D$17:$D$29)=0,1,($E$17:$E$29-$D$17:$D$29))&lt;$B$48,RM_Assumptions!B$26,IF((M$33-$D$17:$D$29)/IF(($E$17:$E$29-$D$17:$D$29)=0,1,($E$17:$E$29-$D$17:$D$29))&lt;$C$48,RM_Assumptions!C$26,IF((M$33-$D$17:$D$29)/IF(($E$17:$E$29-$D$17:$D$29)=0,1,($E$17:$E$29-$D$17:$D$29))&lt;$D$48,RM_Assumptions!D$26,IF((M$33-$D$17:$D$29)/IF(($E$17:$E$29-$D$17:$D$29)=0,1,($E$17:$E$29-$D$17:$D$29))&lt;$E$48,RM_Assumptions!E$26,IF((M$33-$D$17:$D$29)/IF(($E$17:$E$29-$D$17:$D$29)=0,1,($E$17:$E$29-$D$17:$D$29))&lt;$F$48,RM_Assumptions!F$26,RM_Assumptions!G$26)))))/IF($F$17:$F$29=0,1,$F$17:$F$29))/$F9)</f>
        <v>3.4895833333333334E-2</v>
      </c>
      <c r="N37" s="213" cm="1">
        <f t="array" aca="1" ref="N37" ca="1">IF($F9=0,0,SUMPRODUCT(($A$17:$A$29&lt;&gt;"")*(N$33&gt;=$D$17:$D$29)*(N$33&lt;$E$17:$E$29)*$C$17:$C$29*$J$17:$J$29*IF((N$33-$D$17:$D$29)/IF(($E$17:$E$29-$D$17:$D$29)=0,1,($E$17:$E$29-$D$17:$D$29))&lt;$B$48,RM_Assumptions!B$26,IF((N$33-$D$17:$D$29)/IF(($E$17:$E$29-$D$17:$D$29)=0,1,($E$17:$E$29-$D$17:$D$29))&lt;$C$48,RM_Assumptions!C$26,IF((N$33-$D$17:$D$29)/IF(($E$17:$E$29-$D$17:$D$29)=0,1,($E$17:$E$29-$D$17:$D$29))&lt;$D$48,RM_Assumptions!D$26,IF((N$33-$D$17:$D$29)/IF(($E$17:$E$29-$D$17:$D$29)=0,1,($E$17:$E$29-$D$17:$D$29))&lt;$E$48,RM_Assumptions!E$26,IF((N$33-$D$17:$D$29)/IF(($E$17:$E$29-$D$17:$D$29)=0,1,($E$17:$E$29-$D$17:$D$29))&lt;$F$48,RM_Assumptions!F$26,RM_Assumptions!G$26)))))/IF($F$17:$F$29=0,1,$F$17:$F$29))/$F9)</f>
        <v>3.4895833333333334E-2</v>
      </c>
      <c r="O37" s="213" cm="1">
        <f t="array" aca="1" ref="O37" ca="1">IF($F9=0,0,SUMPRODUCT(($A$17:$A$29&lt;&gt;"")*(O$33&gt;=$D$17:$D$29)*(O$33&lt;$E$17:$E$29)*$C$17:$C$29*$J$17:$J$29*IF((O$33-$D$17:$D$29)/IF(($E$17:$E$29-$D$17:$D$29)=0,1,($E$17:$E$29-$D$17:$D$29))&lt;$B$48,RM_Assumptions!B$26,IF((O$33-$D$17:$D$29)/IF(($E$17:$E$29-$D$17:$D$29)=0,1,($E$17:$E$29-$D$17:$D$29))&lt;$C$48,RM_Assumptions!C$26,IF((O$33-$D$17:$D$29)/IF(($E$17:$E$29-$D$17:$D$29)=0,1,($E$17:$E$29-$D$17:$D$29))&lt;$D$48,RM_Assumptions!D$26,IF((O$33-$D$17:$D$29)/IF(($E$17:$E$29-$D$17:$D$29)=0,1,($E$17:$E$29-$D$17:$D$29))&lt;$E$48,RM_Assumptions!E$26,IF((O$33-$D$17:$D$29)/IF(($E$17:$E$29-$D$17:$D$29)=0,1,($E$17:$E$29-$D$17:$D$29))&lt;$F$48,RM_Assumptions!F$26,RM_Assumptions!G$26)))))/IF($F$17:$F$29=0,1,$F$17:$F$29))/$F9)</f>
        <v>0</v>
      </c>
      <c r="P37" s="213" cm="1">
        <f t="array" aca="1" ref="P37" ca="1">IF($F9=0,0,SUMPRODUCT(($A$17:$A$29&lt;&gt;"")*(P$33&gt;=$D$17:$D$29)*(P$33&lt;$E$17:$E$29)*$C$17:$C$29*$J$17:$J$29*IF((P$33-$D$17:$D$29)/IF(($E$17:$E$29-$D$17:$D$29)=0,1,($E$17:$E$29-$D$17:$D$29))&lt;$B$48,RM_Assumptions!B$26,IF((P$33-$D$17:$D$29)/IF(($E$17:$E$29-$D$17:$D$29)=0,1,($E$17:$E$29-$D$17:$D$29))&lt;$C$48,RM_Assumptions!C$26,IF((P$33-$D$17:$D$29)/IF(($E$17:$E$29-$D$17:$D$29)=0,1,($E$17:$E$29-$D$17:$D$29))&lt;$D$48,RM_Assumptions!D$26,IF((P$33-$D$17:$D$29)/IF(($E$17:$E$29-$D$17:$D$29)=0,1,($E$17:$E$29-$D$17:$D$29))&lt;$E$48,RM_Assumptions!E$26,IF((P$33-$D$17:$D$29)/IF(($E$17:$E$29-$D$17:$D$29)=0,1,($E$17:$E$29-$D$17:$D$29))&lt;$F$48,RM_Assumptions!F$26,RM_Assumptions!G$26)))))/IF($F$17:$F$29=0,1,$F$17:$F$29))/$F9)</f>
        <v>0</v>
      </c>
      <c r="Q37" s="213" cm="1">
        <f t="array" aca="1" ref="Q37" ca="1">IF($F9=0,0,SUMPRODUCT(($A$17:$A$29&lt;&gt;"")*(Q$33&gt;=$D$17:$D$29)*(Q$33&lt;$E$17:$E$29)*$C$17:$C$29*$J$17:$J$29*IF((Q$33-$D$17:$D$29)/IF(($E$17:$E$29-$D$17:$D$29)=0,1,($E$17:$E$29-$D$17:$D$29))&lt;$B$48,RM_Assumptions!B$26,IF((Q$33-$D$17:$D$29)/IF(($E$17:$E$29-$D$17:$D$29)=0,1,($E$17:$E$29-$D$17:$D$29))&lt;$C$48,RM_Assumptions!C$26,IF((Q$33-$D$17:$D$29)/IF(($E$17:$E$29-$D$17:$D$29)=0,1,($E$17:$E$29-$D$17:$D$29))&lt;$D$48,RM_Assumptions!D$26,IF((Q$33-$D$17:$D$29)/IF(($E$17:$E$29-$D$17:$D$29)=0,1,($E$17:$E$29-$D$17:$D$29))&lt;$E$48,RM_Assumptions!E$26,IF((Q$33-$D$17:$D$29)/IF(($E$17:$E$29-$D$17:$D$29)=0,1,($E$17:$E$29-$D$17:$D$29))&lt;$F$48,RM_Assumptions!F$26,RM_Assumptions!G$26)))))/IF($F$17:$F$29=0,1,$F$17:$F$29))/$F9)</f>
        <v>0</v>
      </c>
    </row>
    <row r="38" spans="1:17">
      <c r="A38" s="176" t="s">
        <v>26</v>
      </c>
      <c r="B38" s="213" cm="1">
        <f t="array" aca="1" ref="B38" ca="1">IF($F10=0,0,SUMPRODUCT(($A$17:$A$29&lt;&gt;"")*(B$33&gt;=$D$17:$D$29)*(B$33&lt;$E$17:$E$29)*$C$17:$C$29*$K$17:$K$29*IF((B$33-$D$17:$D$29)/IF(($E$17:$E$29-$D$17:$D$29)=0,1,($E$17:$E$29-$D$17:$D$29))&lt;$B$48,RM_Assumptions!B$27,IF((B$33-$D$17:$D$29)/IF(($E$17:$E$29-$D$17:$D$29)=0,1,($E$17:$E$29-$D$17:$D$29))&lt;$C$48,RM_Assumptions!C$27,IF((B$33-$D$17:$D$29)/IF(($E$17:$E$29-$D$17:$D$29)=0,1,($E$17:$E$29-$D$17:$D$29))&lt;$D$48,RM_Assumptions!D$27,IF((B$33-$D$17:$D$29)/IF(($E$17:$E$29-$D$17:$D$29)=0,1,($E$17:$E$29-$D$17:$D$29))&lt;$E$48,RM_Assumptions!E$27,IF((B$33-$D$17:$D$29)/IF(($E$17:$E$29-$D$17:$D$29)=0,1,($E$17:$E$29-$D$17:$D$29))&lt;$F$48,RM_Assumptions!F$27,RM_Assumptions!G$27)))))/IF($F$17:$F$29=0,1,$F$17:$F$29))/$F10)</f>
        <v>0</v>
      </c>
      <c r="C38" s="213" cm="1">
        <f t="array" aca="1" ref="C38" ca="1">IF($F10=0,0,SUMPRODUCT(($A$17:$A$29&lt;&gt;"")*(C$33&gt;=$D$17:$D$29)*(C$33&lt;$E$17:$E$29)*$C$17:$C$29*$K$17:$K$29*IF((C$33-$D$17:$D$29)/IF(($E$17:$E$29-$D$17:$D$29)=0,1,($E$17:$E$29-$D$17:$D$29))&lt;$B$48,RM_Assumptions!B$27,IF((C$33-$D$17:$D$29)/IF(($E$17:$E$29-$D$17:$D$29)=0,1,($E$17:$E$29-$D$17:$D$29))&lt;$C$48,RM_Assumptions!C$27,IF((C$33-$D$17:$D$29)/IF(($E$17:$E$29-$D$17:$D$29)=0,1,($E$17:$E$29-$D$17:$D$29))&lt;$D$48,RM_Assumptions!D$27,IF((C$33-$D$17:$D$29)/IF(($E$17:$E$29-$D$17:$D$29)=0,1,($E$17:$E$29-$D$17:$D$29))&lt;$E$48,RM_Assumptions!E$27,IF((C$33-$D$17:$D$29)/IF(($E$17:$E$29-$D$17:$D$29)=0,1,($E$17:$E$29-$D$17:$D$29))&lt;$F$48,RM_Assumptions!F$27,RM_Assumptions!G$27)))))/IF($F$17:$F$29=0,1,$F$17:$F$29))/$F10)</f>
        <v>0</v>
      </c>
      <c r="D38" s="213" cm="1">
        <f t="array" aca="1" ref="D38" ca="1">IF($F10=0,0,SUMPRODUCT(($A$17:$A$29&lt;&gt;"")*(D$33&gt;=$D$17:$D$29)*(D$33&lt;$E$17:$E$29)*$C$17:$C$29*$K$17:$K$29*IF((D$33-$D$17:$D$29)/IF(($E$17:$E$29-$D$17:$D$29)=0,1,($E$17:$E$29-$D$17:$D$29))&lt;$B$48,RM_Assumptions!B$27,IF((D$33-$D$17:$D$29)/IF(($E$17:$E$29-$D$17:$D$29)=0,1,($E$17:$E$29-$D$17:$D$29))&lt;$C$48,RM_Assumptions!C$27,IF((D$33-$D$17:$D$29)/IF(($E$17:$E$29-$D$17:$D$29)=0,1,($E$17:$E$29-$D$17:$D$29))&lt;$D$48,RM_Assumptions!D$27,IF((D$33-$D$17:$D$29)/IF(($E$17:$E$29-$D$17:$D$29)=0,1,($E$17:$E$29-$D$17:$D$29))&lt;$E$48,RM_Assumptions!E$27,IF((D$33-$D$17:$D$29)/IF(($E$17:$E$29-$D$17:$D$29)=0,1,($E$17:$E$29-$D$17:$D$29))&lt;$F$48,RM_Assumptions!F$27,RM_Assumptions!G$27)))))/IF($F$17:$F$29=0,1,$F$17:$F$29))/$F10)</f>
        <v>0</v>
      </c>
      <c r="E38" s="213" cm="1">
        <f t="array" aca="1" ref="E38" ca="1">IF($F10=0,0,SUMPRODUCT(($A$17:$A$29&lt;&gt;"")*(E$33&gt;=$D$17:$D$29)*(E$33&lt;$E$17:$E$29)*$C$17:$C$29*$K$17:$K$29*IF((E$33-$D$17:$D$29)/IF(($E$17:$E$29-$D$17:$D$29)=0,1,($E$17:$E$29-$D$17:$D$29))&lt;$B$48,RM_Assumptions!B$27,IF((E$33-$D$17:$D$29)/IF(($E$17:$E$29-$D$17:$D$29)=0,1,($E$17:$E$29-$D$17:$D$29))&lt;$C$48,RM_Assumptions!C$27,IF((E$33-$D$17:$D$29)/IF(($E$17:$E$29-$D$17:$D$29)=0,1,($E$17:$E$29-$D$17:$D$29))&lt;$D$48,RM_Assumptions!D$27,IF((E$33-$D$17:$D$29)/IF(($E$17:$E$29-$D$17:$D$29)=0,1,($E$17:$E$29-$D$17:$D$29))&lt;$E$48,RM_Assumptions!E$27,IF((E$33-$D$17:$D$29)/IF(($E$17:$E$29-$D$17:$D$29)=0,1,($E$17:$E$29-$D$17:$D$29))&lt;$F$48,RM_Assumptions!F$27,RM_Assumptions!G$27)))))/IF($F$17:$F$29=0,1,$F$17:$F$29))/$F10)</f>
        <v>0</v>
      </c>
      <c r="F38" s="213" cm="1">
        <f t="array" aca="1" ref="F38" ca="1">IF($F10=0,0,SUMPRODUCT(($A$17:$A$29&lt;&gt;"")*(F$33&gt;=$D$17:$D$29)*(F$33&lt;$E$17:$E$29)*$C$17:$C$29*$K$17:$K$29*IF((F$33-$D$17:$D$29)/IF(($E$17:$E$29-$D$17:$D$29)=0,1,($E$17:$E$29-$D$17:$D$29))&lt;$B$48,RM_Assumptions!B$27,IF((F$33-$D$17:$D$29)/IF(($E$17:$E$29-$D$17:$D$29)=0,1,($E$17:$E$29-$D$17:$D$29))&lt;$C$48,RM_Assumptions!C$27,IF((F$33-$D$17:$D$29)/IF(($E$17:$E$29-$D$17:$D$29)=0,1,($E$17:$E$29-$D$17:$D$29))&lt;$D$48,RM_Assumptions!D$27,IF((F$33-$D$17:$D$29)/IF(($E$17:$E$29-$D$17:$D$29)=0,1,($E$17:$E$29-$D$17:$D$29))&lt;$E$48,RM_Assumptions!E$27,IF((F$33-$D$17:$D$29)/IF(($E$17:$E$29-$D$17:$D$29)=0,1,($E$17:$E$29-$D$17:$D$29))&lt;$F$48,RM_Assumptions!F$27,RM_Assumptions!G$27)))))/IF($F$17:$F$29=0,1,$F$17:$F$29))/$F10)</f>
        <v>0</v>
      </c>
      <c r="G38" s="213" cm="1">
        <f t="array" aca="1" ref="G38" ca="1">IF($F10=0,0,SUMPRODUCT(($A$17:$A$29&lt;&gt;"")*(G$33&gt;=$D$17:$D$29)*(G$33&lt;$E$17:$E$29)*$C$17:$C$29*$K$17:$K$29*IF((G$33-$D$17:$D$29)/IF(($E$17:$E$29-$D$17:$D$29)=0,1,($E$17:$E$29-$D$17:$D$29))&lt;$B$48,RM_Assumptions!B$27,IF((G$33-$D$17:$D$29)/IF(($E$17:$E$29-$D$17:$D$29)=0,1,($E$17:$E$29-$D$17:$D$29))&lt;$C$48,RM_Assumptions!C$27,IF((G$33-$D$17:$D$29)/IF(($E$17:$E$29-$D$17:$D$29)=0,1,($E$17:$E$29-$D$17:$D$29))&lt;$D$48,RM_Assumptions!D$27,IF((G$33-$D$17:$D$29)/IF(($E$17:$E$29-$D$17:$D$29)=0,1,($E$17:$E$29-$D$17:$D$29))&lt;$E$48,RM_Assumptions!E$27,IF((G$33-$D$17:$D$29)/IF(($E$17:$E$29-$D$17:$D$29)=0,1,($E$17:$E$29-$D$17:$D$29))&lt;$F$48,RM_Assumptions!F$27,RM_Assumptions!G$27)))))/IF($F$17:$F$29=0,1,$F$17:$F$29))/$F10)</f>
        <v>0</v>
      </c>
      <c r="H38" s="213" cm="1">
        <f t="array" aca="1" ref="H38" ca="1">IF($F10=0,0,SUMPRODUCT(($A$17:$A$29&lt;&gt;"")*(H$33&gt;=$D$17:$D$29)*(H$33&lt;$E$17:$E$29)*$C$17:$C$29*$K$17:$K$29*IF((H$33-$D$17:$D$29)/IF(($E$17:$E$29-$D$17:$D$29)=0,1,($E$17:$E$29-$D$17:$D$29))&lt;$B$48,RM_Assumptions!B$27,IF((H$33-$D$17:$D$29)/IF(($E$17:$E$29-$D$17:$D$29)=0,1,($E$17:$E$29-$D$17:$D$29))&lt;$C$48,RM_Assumptions!C$27,IF((H$33-$D$17:$D$29)/IF(($E$17:$E$29-$D$17:$D$29)=0,1,($E$17:$E$29-$D$17:$D$29))&lt;$D$48,RM_Assumptions!D$27,IF((H$33-$D$17:$D$29)/IF(($E$17:$E$29-$D$17:$D$29)=0,1,($E$17:$E$29-$D$17:$D$29))&lt;$E$48,RM_Assumptions!E$27,IF((H$33-$D$17:$D$29)/IF(($E$17:$E$29-$D$17:$D$29)=0,1,($E$17:$E$29-$D$17:$D$29))&lt;$F$48,RM_Assumptions!F$27,RM_Assumptions!G$27)))))/IF($F$17:$F$29=0,1,$F$17:$F$29))/$F10)</f>
        <v>0</v>
      </c>
      <c r="I38" s="213" cm="1">
        <f t="array" aca="1" ref="I38" ca="1">IF($F10=0,0,SUMPRODUCT(($A$17:$A$29&lt;&gt;"")*(I$33&gt;=$D$17:$D$29)*(I$33&lt;$E$17:$E$29)*$C$17:$C$29*$K$17:$K$29*IF((I$33-$D$17:$D$29)/IF(($E$17:$E$29-$D$17:$D$29)=0,1,($E$17:$E$29-$D$17:$D$29))&lt;$B$48,RM_Assumptions!B$27,IF((I$33-$D$17:$D$29)/IF(($E$17:$E$29-$D$17:$D$29)=0,1,($E$17:$E$29-$D$17:$D$29))&lt;$C$48,RM_Assumptions!C$27,IF((I$33-$D$17:$D$29)/IF(($E$17:$E$29-$D$17:$D$29)=0,1,($E$17:$E$29-$D$17:$D$29))&lt;$D$48,RM_Assumptions!D$27,IF((I$33-$D$17:$D$29)/IF(($E$17:$E$29-$D$17:$D$29)=0,1,($E$17:$E$29-$D$17:$D$29))&lt;$E$48,RM_Assumptions!E$27,IF((I$33-$D$17:$D$29)/IF(($E$17:$E$29-$D$17:$D$29)=0,1,($E$17:$E$29-$D$17:$D$29))&lt;$F$48,RM_Assumptions!F$27,RM_Assumptions!G$27)))))/IF($F$17:$F$29=0,1,$F$17:$F$29))/$F10)</f>
        <v>0</v>
      </c>
      <c r="J38" s="213" cm="1">
        <f t="array" aca="1" ref="J38" ca="1">IF($F10=0,0,SUMPRODUCT(($A$17:$A$29&lt;&gt;"")*(J$33&gt;=$D$17:$D$29)*(J$33&lt;$E$17:$E$29)*$C$17:$C$29*$K$17:$K$29*IF((J$33-$D$17:$D$29)/IF(($E$17:$E$29-$D$17:$D$29)=0,1,($E$17:$E$29-$D$17:$D$29))&lt;$B$48,RM_Assumptions!B$27,IF((J$33-$D$17:$D$29)/IF(($E$17:$E$29-$D$17:$D$29)=0,1,($E$17:$E$29-$D$17:$D$29))&lt;$C$48,RM_Assumptions!C$27,IF((J$33-$D$17:$D$29)/IF(($E$17:$E$29-$D$17:$D$29)=0,1,($E$17:$E$29-$D$17:$D$29))&lt;$D$48,RM_Assumptions!D$27,IF((J$33-$D$17:$D$29)/IF(($E$17:$E$29-$D$17:$D$29)=0,1,($E$17:$E$29-$D$17:$D$29))&lt;$E$48,RM_Assumptions!E$27,IF((J$33-$D$17:$D$29)/IF(($E$17:$E$29-$D$17:$D$29)=0,1,($E$17:$E$29-$D$17:$D$29))&lt;$F$48,RM_Assumptions!F$27,RM_Assumptions!G$27)))))/IF($F$17:$F$29=0,1,$F$17:$F$29))/$F10)</f>
        <v>0</v>
      </c>
      <c r="K38" s="213" cm="1">
        <f t="array" aca="1" ref="K38" ca="1">IF($F10=0,0,SUMPRODUCT(($A$17:$A$29&lt;&gt;"")*(K$33&gt;=$D$17:$D$29)*(K$33&lt;$E$17:$E$29)*$C$17:$C$29*$K$17:$K$29*IF((K$33-$D$17:$D$29)/IF(($E$17:$E$29-$D$17:$D$29)=0,1,($E$17:$E$29-$D$17:$D$29))&lt;$B$48,RM_Assumptions!B$27,IF((K$33-$D$17:$D$29)/IF(($E$17:$E$29-$D$17:$D$29)=0,1,($E$17:$E$29-$D$17:$D$29))&lt;$C$48,RM_Assumptions!C$27,IF((K$33-$D$17:$D$29)/IF(($E$17:$E$29-$D$17:$D$29)=0,1,($E$17:$E$29-$D$17:$D$29))&lt;$D$48,RM_Assumptions!D$27,IF((K$33-$D$17:$D$29)/IF(($E$17:$E$29-$D$17:$D$29)=0,1,($E$17:$E$29-$D$17:$D$29))&lt;$E$48,RM_Assumptions!E$27,IF((K$33-$D$17:$D$29)/IF(($E$17:$E$29-$D$17:$D$29)=0,1,($E$17:$E$29-$D$17:$D$29))&lt;$F$48,RM_Assumptions!F$27,RM_Assumptions!G$27)))))/IF($F$17:$F$29=0,1,$F$17:$F$29))/$F10)</f>
        <v>0</v>
      </c>
      <c r="L38" s="213" cm="1">
        <f t="array" aca="1" ref="L38" ca="1">IF($F10=0,0,SUMPRODUCT(($A$17:$A$29&lt;&gt;"")*(L$33&gt;=$D$17:$D$29)*(L$33&lt;$E$17:$E$29)*$C$17:$C$29*$K$17:$K$29*IF((L$33-$D$17:$D$29)/IF(($E$17:$E$29-$D$17:$D$29)=0,1,($E$17:$E$29-$D$17:$D$29))&lt;$B$48,RM_Assumptions!B$27,IF((L$33-$D$17:$D$29)/IF(($E$17:$E$29-$D$17:$D$29)=0,1,($E$17:$E$29-$D$17:$D$29))&lt;$C$48,RM_Assumptions!C$27,IF((L$33-$D$17:$D$29)/IF(($E$17:$E$29-$D$17:$D$29)=0,1,($E$17:$E$29-$D$17:$D$29))&lt;$D$48,RM_Assumptions!D$27,IF((L$33-$D$17:$D$29)/IF(($E$17:$E$29-$D$17:$D$29)=0,1,($E$17:$E$29-$D$17:$D$29))&lt;$E$48,RM_Assumptions!E$27,IF((L$33-$D$17:$D$29)/IF(($E$17:$E$29-$D$17:$D$29)=0,1,($E$17:$E$29-$D$17:$D$29))&lt;$F$48,RM_Assumptions!F$27,RM_Assumptions!G$27)))))/IF($F$17:$F$29=0,1,$F$17:$F$29))/$F10)</f>
        <v>0</v>
      </c>
      <c r="M38" s="213" cm="1">
        <f t="array" aca="1" ref="M38" ca="1">IF($F10=0,0,SUMPRODUCT(($A$17:$A$29&lt;&gt;"")*(M$33&gt;=$D$17:$D$29)*(M$33&lt;$E$17:$E$29)*$C$17:$C$29*$K$17:$K$29*IF((M$33-$D$17:$D$29)/IF(($E$17:$E$29-$D$17:$D$29)=0,1,($E$17:$E$29-$D$17:$D$29))&lt;$B$48,RM_Assumptions!B$27,IF((M$33-$D$17:$D$29)/IF(($E$17:$E$29-$D$17:$D$29)=0,1,($E$17:$E$29-$D$17:$D$29))&lt;$C$48,RM_Assumptions!C$27,IF((M$33-$D$17:$D$29)/IF(($E$17:$E$29-$D$17:$D$29)=0,1,($E$17:$E$29-$D$17:$D$29))&lt;$D$48,RM_Assumptions!D$27,IF((M$33-$D$17:$D$29)/IF(($E$17:$E$29-$D$17:$D$29)=0,1,($E$17:$E$29-$D$17:$D$29))&lt;$E$48,RM_Assumptions!E$27,IF((M$33-$D$17:$D$29)/IF(($E$17:$E$29-$D$17:$D$29)=0,1,($E$17:$E$29-$D$17:$D$29))&lt;$F$48,RM_Assumptions!F$27,RM_Assumptions!G$27)))))/IF($F$17:$F$29=0,1,$F$17:$F$29))/$F10)</f>
        <v>0</v>
      </c>
      <c r="N38" s="213" cm="1">
        <f t="array" aca="1" ref="N38" ca="1">IF($F10=0,0,SUMPRODUCT(($A$17:$A$29&lt;&gt;"")*(N$33&gt;=$D$17:$D$29)*(N$33&lt;$E$17:$E$29)*$C$17:$C$29*$K$17:$K$29*IF((N$33-$D$17:$D$29)/IF(($E$17:$E$29-$D$17:$D$29)=0,1,($E$17:$E$29-$D$17:$D$29))&lt;$B$48,RM_Assumptions!B$27,IF((N$33-$D$17:$D$29)/IF(($E$17:$E$29-$D$17:$D$29)=0,1,($E$17:$E$29-$D$17:$D$29))&lt;$C$48,RM_Assumptions!C$27,IF((N$33-$D$17:$D$29)/IF(($E$17:$E$29-$D$17:$D$29)=0,1,($E$17:$E$29-$D$17:$D$29))&lt;$D$48,RM_Assumptions!D$27,IF((N$33-$D$17:$D$29)/IF(($E$17:$E$29-$D$17:$D$29)=0,1,($E$17:$E$29-$D$17:$D$29))&lt;$E$48,RM_Assumptions!E$27,IF((N$33-$D$17:$D$29)/IF(($E$17:$E$29-$D$17:$D$29)=0,1,($E$17:$E$29-$D$17:$D$29))&lt;$F$48,RM_Assumptions!F$27,RM_Assumptions!G$27)))))/IF($F$17:$F$29=0,1,$F$17:$F$29))/$F10)</f>
        <v>0</v>
      </c>
      <c r="O38" s="213" cm="1">
        <f t="array" aca="1" ref="O38" ca="1">IF($F10=0,0,SUMPRODUCT(($A$17:$A$29&lt;&gt;"")*(O$33&gt;=$D$17:$D$29)*(O$33&lt;$E$17:$E$29)*$C$17:$C$29*$K$17:$K$29*IF((O$33-$D$17:$D$29)/IF(($E$17:$E$29-$D$17:$D$29)=0,1,($E$17:$E$29-$D$17:$D$29))&lt;$B$48,RM_Assumptions!B$27,IF((O$33-$D$17:$D$29)/IF(($E$17:$E$29-$D$17:$D$29)=0,1,($E$17:$E$29-$D$17:$D$29))&lt;$C$48,RM_Assumptions!C$27,IF((O$33-$D$17:$D$29)/IF(($E$17:$E$29-$D$17:$D$29)=0,1,($E$17:$E$29-$D$17:$D$29))&lt;$D$48,RM_Assumptions!D$27,IF((O$33-$D$17:$D$29)/IF(($E$17:$E$29-$D$17:$D$29)=0,1,($E$17:$E$29-$D$17:$D$29))&lt;$E$48,RM_Assumptions!E$27,IF((O$33-$D$17:$D$29)/IF(($E$17:$E$29-$D$17:$D$29)=0,1,($E$17:$E$29-$D$17:$D$29))&lt;$F$48,RM_Assumptions!F$27,RM_Assumptions!G$27)))))/IF($F$17:$F$29=0,1,$F$17:$F$29))/$F10)</f>
        <v>0</v>
      </c>
      <c r="P38" s="213" cm="1">
        <f t="array" aca="1" ref="P38" ca="1">IF($F10=0,0,SUMPRODUCT(($A$17:$A$29&lt;&gt;"")*(P$33&gt;=$D$17:$D$29)*(P$33&lt;$E$17:$E$29)*$C$17:$C$29*$K$17:$K$29*IF((P$33-$D$17:$D$29)/IF(($E$17:$E$29-$D$17:$D$29)=0,1,($E$17:$E$29-$D$17:$D$29))&lt;$B$48,RM_Assumptions!B$27,IF((P$33-$D$17:$D$29)/IF(($E$17:$E$29-$D$17:$D$29)=0,1,($E$17:$E$29-$D$17:$D$29))&lt;$C$48,RM_Assumptions!C$27,IF((P$33-$D$17:$D$29)/IF(($E$17:$E$29-$D$17:$D$29)=0,1,($E$17:$E$29-$D$17:$D$29))&lt;$D$48,RM_Assumptions!D$27,IF((P$33-$D$17:$D$29)/IF(($E$17:$E$29-$D$17:$D$29)=0,1,($E$17:$E$29-$D$17:$D$29))&lt;$E$48,RM_Assumptions!E$27,IF((P$33-$D$17:$D$29)/IF(($E$17:$E$29-$D$17:$D$29)=0,1,($E$17:$E$29-$D$17:$D$29))&lt;$F$48,RM_Assumptions!F$27,RM_Assumptions!G$27)))))/IF($F$17:$F$29=0,1,$F$17:$F$29))/$F10)</f>
        <v>0</v>
      </c>
      <c r="Q38" s="213" cm="1">
        <f t="array" aca="1" ref="Q38" ca="1">IF($F10=0,0,SUMPRODUCT(($A$17:$A$29&lt;&gt;"")*(Q$33&gt;=$D$17:$D$29)*(Q$33&lt;$E$17:$E$29)*$C$17:$C$29*$K$17:$K$29*IF((Q$33-$D$17:$D$29)/IF(($E$17:$E$29-$D$17:$D$29)=0,1,($E$17:$E$29-$D$17:$D$29))&lt;$B$48,RM_Assumptions!B$27,IF((Q$33-$D$17:$D$29)/IF(($E$17:$E$29-$D$17:$D$29)=0,1,($E$17:$E$29-$D$17:$D$29))&lt;$C$48,RM_Assumptions!C$27,IF((Q$33-$D$17:$D$29)/IF(($E$17:$E$29-$D$17:$D$29)=0,1,($E$17:$E$29-$D$17:$D$29))&lt;$D$48,RM_Assumptions!D$27,IF((Q$33-$D$17:$D$29)/IF(($E$17:$E$29-$D$17:$D$29)=0,1,($E$17:$E$29-$D$17:$D$29))&lt;$E$48,RM_Assumptions!E$27,IF((Q$33-$D$17:$D$29)/IF(($E$17:$E$29-$D$17:$D$29)=0,1,($E$17:$E$29-$D$17:$D$29))&lt;$F$48,RM_Assumptions!F$27,RM_Assumptions!G$27)))))/IF($F$17:$F$29=0,1,$F$17:$F$29))/$F10)</f>
        <v>0</v>
      </c>
    </row>
    <row r="39" spans="1:17">
      <c r="A39" s="176" t="s">
        <v>77</v>
      </c>
      <c r="B39" s="213" cm="1">
        <f t="array" aca="1" ref="B39" ca="1">IF($F11=0,0,SUMPRODUCT(($A$17:$A$29&lt;&gt;"")*(B$33&gt;=$D$17:$D$29)*(B$33&lt;$E$17:$E$29)*$C$17:$C$29*$L$17:$L$29*IF((B$33-$D$17:$D$29)/IF(($E$17:$E$29-$D$17:$D$29)=0,1,($E$17:$E$29-$D$17:$D$29))&lt;$B$48,RM_Assumptions!B$22,IF((B$33-$D$17:$D$29)/IF(($E$17:$E$29-$D$17:$D$29)=0,1,($E$17:$E$29-$D$17:$D$29))&lt;$C$48,RM_Assumptions!C$22,IF((B$33-$D$17:$D$29)/IF(($E$17:$E$29-$D$17:$D$29)=0,1,($E$17:$E$29-$D$17:$D$29))&lt;$D$48,RM_Assumptions!D$22,IF((B$33-$D$17:$D$29)/IF(($E$17:$E$29-$D$17:$D$29)=0,1,($E$17:$E$29-$D$17:$D$29))&lt;$E$48,RM_Assumptions!E$22,IF((B$33-$D$17:$D$29)/IF(($E$17:$E$29-$D$17:$D$29)=0,1,($E$17:$E$29-$D$17:$D$29))&lt;$F$48,RM_Assumptions!F$22,RM_Assumptions!G$22)))))/IF($F$17:$F$29=0,1,$F$17:$F$29))/$F11)</f>
        <v>0</v>
      </c>
      <c r="C39" s="213" cm="1">
        <f t="array" aca="1" ref="C39" ca="1">IF($F11=0,0,SUMPRODUCT(($A$17:$A$29&lt;&gt;"")*(C$33&gt;=$D$17:$D$29)*(C$33&lt;$E$17:$E$29)*$C$17:$C$29*$L$17:$L$29*IF((C$33-$D$17:$D$29)/IF(($E$17:$E$29-$D$17:$D$29)=0,1,($E$17:$E$29-$D$17:$D$29))&lt;$B$48,RM_Assumptions!B$22,IF((C$33-$D$17:$D$29)/IF(($E$17:$E$29-$D$17:$D$29)=0,1,($E$17:$E$29-$D$17:$D$29))&lt;$C$48,RM_Assumptions!C$22,IF((C$33-$D$17:$D$29)/IF(($E$17:$E$29-$D$17:$D$29)=0,1,($E$17:$E$29-$D$17:$D$29))&lt;$D$48,RM_Assumptions!D$22,IF((C$33-$D$17:$D$29)/IF(($E$17:$E$29-$D$17:$D$29)=0,1,($E$17:$E$29-$D$17:$D$29))&lt;$E$48,RM_Assumptions!E$22,IF((C$33-$D$17:$D$29)/IF(($E$17:$E$29-$D$17:$D$29)=0,1,($E$17:$E$29-$D$17:$D$29))&lt;$F$48,RM_Assumptions!F$22,RM_Assumptions!G$22)))))/IF($F$17:$F$29=0,1,$F$17:$F$29))/$F11)</f>
        <v>0</v>
      </c>
      <c r="D39" s="213" cm="1">
        <f t="array" aca="1" ref="D39" ca="1">IF($F11=0,0,SUMPRODUCT(($A$17:$A$29&lt;&gt;"")*(D$33&gt;=$D$17:$D$29)*(D$33&lt;$E$17:$E$29)*$C$17:$C$29*$L$17:$L$29*IF((D$33-$D$17:$D$29)/IF(($E$17:$E$29-$D$17:$D$29)=0,1,($E$17:$E$29-$D$17:$D$29))&lt;$B$48,RM_Assumptions!B$22,IF((D$33-$D$17:$D$29)/IF(($E$17:$E$29-$D$17:$D$29)=0,1,($E$17:$E$29-$D$17:$D$29))&lt;$C$48,RM_Assumptions!C$22,IF((D$33-$D$17:$D$29)/IF(($E$17:$E$29-$D$17:$D$29)=0,1,($E$17:$E$29-$D$17:$D$29))&lt;$D$48,RM_Assumptions!D$22,IF((D$33-$D$17:$D$29)/IF(($E$17:$E$29-$D$17:$D$29)=0,1,($E$17:$E$29-$D$17:$D$29))&lt;$E$48,RM_Assumptions!E$22,IF((D$33-$D$17:$D$29)/IF(($E$17:$E$29-$D$17:$D$29)=0,1,($E$17:$E$29-$D$17:$D$29))&lt;$F$48,RM_Assumptions!F$22,RM_Assumptions!G$22)))))/IF($F$17:$F$29=0,1,$F$17:$F$29))/$F11)</f>
        <v>0</v>
      </c>
      <c r="E39" s="213" cm="1">
        <f t="array" aca="1" ref="E39" ca="1">IF($F11=0,0,SUMPRODUCT(($A$17:$A$29&lt;&gt;"")*(E$33&gt;=$D$17:$D$29)*(E$33&lt;$E$17:$E$29)*$C$17:$C$29*$L$17:$L$29*IF((E$33-$D$17:$D$29)/IF(($E$17:$E$29-$D$17:$D$29)=0,1,($E$17:$E$29-$D$17:$D$29))&lt;$B$48,RM_Assumptions!B$22,IF((E$33-$D$17:$D$29)/IF(($E$17:$E$29-$D$17:$D$29)=0,1,($E$17:$E$29-$D$17:$D$29))&lt;$C$48,RM_Assumptions!C$22,IF((E$33-$D$17:$D$29)/IF(($E$17:$E$29-$D$17:$D$29)=0,1,($E$17:$E$29-$D$17:$D$29))&lt;$D$48,RM_Assumptions!D$22,IF((E$33-$D$17:$D$29)/IF(($E$17:$E$29-$D$17:$D$29)=0,1,($E$17:$E$29-$D$17:$D$29))&lt;$E$48,RM_Assumptions!E$22,IF((E$33-$D$17:$D$29)/IF(($E$17:$E$29-$D$17:$D$29)=0,1,($E$17:$E$29-$D$17:$D$29))&lt;$F$48,RM_Assumptions!F$22,RM_Assumptions!G$22)))))/IF($F$17:$F$29=0,1,$F$17:$F$29))/$F11)</f>
        <v>0</v>
      </c>
      <c r="F39" s="213" cm="1">
        <f t="array" aca="1" ref="F39" ca="1">IF($F11=0,0,SUMPRODUCT(($A$17:$A$29&lt;&gt;"")*(F$33&gt;=$D$17:$D$29)*(F$33&lt;$E$17:$E$29)*$C$17:$C$29*$L$17:$L$29*IF((F$33-$D$17:$D$29)/IF(($E$17:$E$29-$D$17:$D$29)=0,1,($E$17:$E$29-$D$17:$D$29))&lt;$B$48,RM_Assumptions!B$22,IF((F$33-$D$17:$D$29)/IF(($E$17:$E$29-$D$17:$D$29)=0,1,($E$17:$E$29-$D$17:$D$29))&lt;$C$48,RM_Assumptions!C$22,IF((F$33-$D$17:$D$29)/IF(($E$17:$E$29-$D$17:$D$29)=0,1,($E$17:$E$29-$D$17:$D$29))&lt;$D$48,RM_Assumptions!D$22,IF((F$33-$D$17:$D$29)/IF(($E$17:$E$29-$D$17:$D$29)=0,1,($E$17:$E$29-$D$17:$D$29))&lt;$E$48,RM_Assumptions!E$22,IF((F$33-$D$17:$D$29)/IF(($E$17:$E$29-$D$17:$D$29)=0,1,($E$17:$E$29-$D$17:$D$29))&lt;$F$48,RM_Assumptions!F$22,RM_Assumptions!G$22)))))/IF($F$17:$F$29=0,1,$F$17:$F$29))/$F11)</f>
        <v>0</v>
      </c>
      <c r="G39" s="213" cm="1">
        <f t="array" aca="1" ref="G39" ca="1">IF($F11=0,0,SUMPRODUCT(($A$17:$A$29&lt;&gt;"")*(G$33&gt;=$D$17:$D$29)*(G$33&lt;$E$17:$E$29)*$C$17:$C$29*$L$17:$L$29*IF((G$33-$D$17:$D$29)/IF(($E$17:$E$29-$D$17:$D$29)=0,1,($E$17:$E$29-$D$17:$D$29))&lt;$B$48,RM_Assumptions!B$22,IF((G$33-$D$17:$D$29)/IF(($E$17:$E$29-$D$17:$D$29)=0,1,($E$17:$E$29-$D$17:$D$29))&lt;$C$48,RM_Assumptions!C$22,IF((G$33-$D$17:$D$29)/IF(($E$17:$E$29-$D$17:$D$29)=0,1,($E$17:$E$29-$D$17:$D$29))&lt;$D$48,RM_Assumptions!D$22,IF((G$33-$D$17:$D$29)/IF(($E$17:$E$29-$D$17:$D$29)=0,1,($E$17:$E$29-$D$17:$D$29))&lt;$E$48,RM_Assumptions!E$22,IF((G$33-$D$17:$D$29)/IF(($E$17:$E$29-$D$17:$D$29)=0,1,($E$17:$E$29-$D$17:$D$29))&lt;$F$48,RM_Assumptions!F$22,RM_Assumptions!G$22)))))/IF($F$17:$F$29=0,1,$F$17:$F$29))/$F11)</f>
        <v>0</v>
      </c>
      <c r="H39" s="213" cm="1">
        <f t="array" aca="1" ref="H39" ca="1">IF($F11=0,0,SUMPRODUCT(($A$17:$A$29&lt;&gt;"")*(H$33&gt;=$D$17:$D$29)*(H$33&lt;$E$17:$E$29)*$C$17:$C$29*$L$17:$L$29*IF((H$33-$D$17:$D$29)/IF(($E$17:$E$29-$D$17:$D$29)=0,1,($E$17:$E$29-$D$17:$D$29))&lt;$B$48,RM_Assumptions!B$22,IF((H$33-$D$17:$D$29)/IF(($E$17:$E$29-$D$17:$D$29)=0,1,($E$17:$E$29-$D$17:$D$29))&lt;$C$48,RM_Assumptions!C$22,IF((H$33-$D$17:$D$29)/IF(($E$17:$E$29-$D$17:$D$29)=0,1,($E$17:$E$29-$D$17:$D$29))&lt;$D$48,RM_Assumptions!D$22,IF((H$33-$D$17:$D$29)/IF(($E$17:$E$29-$D$17:$D$29)=0,1,($E$17:$E$29-$D$17:$D$29))&lt;$E$48,RM_Assumptions!E$22,IF((H$33-$D$17:$D$29)/IF(($E$17:$E$29-$D$17:$D$29)=0,1,($E$17:$E$29-$D$17:$D$29))&lt;$F$48,RM_Assumptions!F$22,RM_Assumptions!G$22)))))/IF($F$17:$F$29=0,1,$F$17:$F$29))/$F11)</f>
        <v>0</v>
      </c>
      <c r="I39" s="213" cm="1">
        <f t="array" aca="1" ref="I39" ca="1">IF($F11=0,0,SUMPRODUCT(($A$17:$A$29&lt;&gt;"")*(I$33&gt;=$D$17:$D$29)*(I$33&lt;$E$17:$E$29)*$C$17:$C$29*$L$17:$L$29*IF((I$33-$D$17:$D$29)/IF(($E$17:$E$29-$D$17:$D$29)=0,1,($E$17:$E$29-$D$17:$D$29))&lt;$B$48,RM_Assumptions!B$22,IF((I$33-$D$17:$D$29)/IF(($E$17:$E$29-$D$17:$D$29)=0,1,($E$17:$E$29-$D$17:$D$29))&lt;$C$48,RM_Assumptions!C$22,IF((I$33-$D$17:$D$29)/IF(($E$17:$E$29-$D$17:$D$29)=0,1,($E$17:$E$29-$D$17:$D$29))&lt;$D$48,RM_Assumptions!D$22,IF((I$33-$D$17:$D$29)/IF(($E$17:$E$29-$D$17:$D$29)=0,1,($E$17:$E$29-$D$17:$D$29))&lt;$E$48,RM_Assumptions!E$22,IF((I$33-$D$17:$D$29)/IF(($E$17:$E$29-$D$17:$D$29)=0,1,($E$17:$E$29-$D$17:$D$29))&lt;$F$48,RM_Assumptions!F$22,RM_Assumptions!G$22)))))/IF($F$17:$F$29=0,1,$F$17:$F$29))/$F11)</f>
        <v>0</v>
      </c>
      <c r="J39" s="213" cm="1">
        <f t="array" aca="1" ref="J39" ca="1">IF($F11=0,0,SUMPRODUCT(($A$17:$A$29&lt;&gt;"")*(J$33&gt;=$D$17:$D$29)*(J$33&lt;$E$17:$E$29)*$C$17:$C$29*$L$17:$L$29*IF((J$33-$D$17:$D$29)/IF(($E$17:$E$29-$D$17:$D$29)=0,1,($E$17:$E$29-$D$17:$D$29))&lt;$B$48,RM_Assumptions!B$22,IF((J$33-$D$17:$D$29)/IF(($E$17:$E$29-$D$17:$D$29)=0,1,($E$17:$E$29-$D$17:$D$29))&lt;$C$48,RM_Assumptions!C$22,IF((J$33-$D$17:$D$29)/IF(($E$17:$E$29-$D$17:$D$29)=0,1,($E$17:$E$29-$D$17:$D$29))&lt;$D$48,RM_Assumptions!D$22,IF((J$33-$D$17:$D$29)/IF(($E$17:$E$29-$D$17:$D$29)=0,1,($E$17:$E$29-$D$17:$D$29))&lt;$E$48,RM_Assumptions!E$22,IF((J$33-$D$17:$D$29)/IF(($E$17:$E$29-$D$17:$D$29)=0,1,($E$17:$E$29-$D$17:$D$29))&lt;$F$48,RM_Assumptions!F$22,RM_Assumptions!G$22)))))/IF($F$17:$F$29=0,1,$F$17:$F$29))/$F11)</f>
        <v>0</v>
      </c>
      <c r="K39" s="213" cm="1">
        <f t="array" aca="1" ref="K39" ca="1">IF($F11=0,0,SUMPRODUCT(($A$17:$A$29&lt;&gt;"")*(K$33&gt;=$D$17:$D$29)*(K$33&lt;$E$17:$E$29)*$C$17:$C$29*$L$17:$L$29*IF((K$33-$D$17:$D$29)/IF(($E$17:$E$29-$D$17:$D$29)=0,1,($E$17:$E$29-$D$17:$D$29))&lt;$B$48,RM_Assumptions!B$22,IF((K$33-$D$17:$D$29)/IF(($E$17:$E$29-$D$17:$D$29)=0,1,($E$17:$E$29-$D$17:$D$29))&lt;$C$48,RM_Assumptions!C$22,IF((K$33-$D$17:$D$29)/IF(($E$17:$E$29-$D$17:$D$29)=0,1,($E$17:$E$29-$D$17:$D$29))&lt;$D$48,RM_Assumptions!D$22,IF((K$33-$D$17:$D$29)/IF(($E$17:$E$29-$D$17:$D$29)=0,1,($E$17:$E$29-$D$17:$D$29))&lt;$E$48,RM_Assumptions!E$22,IF((K$33-$D$17:$D$29)/IF(($E$17:$E$29-$D$17:$D$29)=0,1,($E$17:$E$29-$D$17:$D$29))&lt;$F$48,RM_Assumptions!F$22,RM_Assumptions!G$22)))))/IF($F$17:$F$29=0,1,$F$17:$F$29))/$F11)</f>
        <v>0</v>
      </c>
      <c r="L39" s="213" cm="1">
        <f t="array" aca="1" ref="L39" ca="1">IF($F11=0,0,SUMPRODUCT(($A$17:$A$29&lt;&gt;"")*(L$33&gt;=$D$17:$D$29)*(L$33&lt;$E$17:$E$29)*$C$17:$C$29*$L$17:$L$29*IF((L$33-$D$17:$D$29)/IF(($E$17:$E$29-$D$17:$D$29)=0,1,($E$17:$E$29-$D$17:$D$29))&lt;$B$48,RM_Assumptions!B$22,IF((L$33-$D$17:$D$29)/IF(($E$17:$E$29-$D$17:$D$29)=0,1,($E$17:$E$29-$D$17:$D$29))&lt;$C$48,RM_Assumptions!C$22,IF((L$33-$D$17:$D$29)/IF(($E$17:$E$29-$D$17:$D$29)=0,1,($E$17:$E$29-$D$17:$D$29))&lt;$D$48,RM_Assumptions!D$22,IF((L$33-$D$17:$D$29)/IF(($E$17:$E$29-$D$17:$D$29)=0,1,($E$17:$E$29-$D$17:$D$29))&lt;$E$48,RM_Assumptions!E$22,IF((L$33-$D$17:$D$29)/IF(($E$17:$E$29-$D$17:$D$29)=0,1,($E$17:$E$29-$D$17:$D$29))&lt;$F$48,RM_Assumptions!F$22,RM_Assumptions!G$22)))))/IF($F$17:$F$29=0,1,$F$17:$F$29))/$F11)</f>
        <v>0</v>
      </c>
      <c r="M39" s="213" cm="1">
        <f t="array" aca="1" ref="M39" ca="1">IF($F11=0,0,SUMPRODUCT(($A$17:$A$29&lt;&gt;"")*(M$33&gt;=$D$17:$D$29)*(M$33&lt;$E$17:$E$29)*$C$17:$C$29*$L$17:$L$29*IF((M$33-$D$17:$D$29)/IF(($E$17:$E$29-$D$17:$D$29)=0,1,($E$17:$E$29-$D$17:$D$29))&lt;$B$48,RM_Assumptions!B$22,IF((M$33-$D$17:$D$29)/IF(($E$17:$E$29-$D$17:$D$29)=0,1,($E$17:$E$29-$D$17:$D$29))&lt;$C$48,RM_Assumptions!C$22,IF((M$33-$D$17:$D$29)/IF(($E$17:$E$29-$D$17:$D$29)=0,1,($E$17:$E$29-$D$17:$D$29))&lt;$D$48,RM_Assumptions!D$22,IF((M$33-$D$17:$D$29)/IF(($E$17:$E$29-$D$17:$D$29)=0,1,($E$17:$E$29-$D$17:$D$29))&lt;$E$48,RM_Assumptions!E$22,IF((M$33-$D$17:$D$29)/IF(($E$17:$E$29-$D$17:$D$29)=0,1,($E$17:$E$29-$D$17:$D$29))&lt;$F$48,RM_Assumptions!F$22,RM_Assumptions!G$22)))))/IF($F$17:$F$29=0,1,$F$17:$F$29))/$F11)</f>
        <v>0</v>
      </c>
      <c r="N39" s="213" cm="1">
        <f t="array" aca="1" ref="N39" ca="1">IF($F11=0,0,SUMPRODUCT(($A$17:$A$29&lt;&gt;"")*(N$33&gt;=$D$17:$D$29)*(N$33&lt;$E$17:$E$29)*$C$17:$C$29*$L$17:$L$29*IF((N$33-$D$17:$D$29)/IF(($E$17:$E$29-$D$17:$D$29)=0,1,($E$17:$E$29-$D$17:$D$29))&lt;$B$48,RM_Assumptions!B$22,IF((N$33-$D$17:$D$29)/IF(($E$17:$E$29-$D$17:$D$29)=0,1,($E$17:$E$29-$D$17:$D$29))&lt;$C$48,RM_Assumptions!C$22,IF((N$33-$D$17:$D$29)/IF(($E$17:$E$29-$D$17:$D$29)=0,1,($E$17:$E$29-$D$17:$D$29))&lt;$D$48,RM_Assumptions!D$22,IF((N$33-$D$17:$D$29)/IF(($E$17:$E$29-$D$17:$D$29)=0,1,($E$17:$E$29-$D$17:$D$29))&lt;$E$48,RM_Assumptions!E$22,IF((N$33-$D$17:$D$29)/IF(($E$17:$E$29-$D$17:$D$29)=0,1,($E$17:$E$29-$D$17:$D$29))&lt;$F$48,RM_Assumptions!F$22,RM_Assumptions!G$22)))))/IF($F$17:$F$29=0,1,$F$17:$F$29))/$F11)</f>
        <v>0</v>
      </c>
      <c r="O39" s="213" cm="1">
        <f t="array" aca="1" ref="O39" ca="1">IF($F11=0,0,SUMPRODUCT(($A$17:$A$29&lt;&gt;"")*(O$33&gt;=$D$17:$D$29)*(O$33&lt;$E$17:$E$29)*$C$17:$C$29*$L$17:$L$29*IF((O$33-$D$17:$D$29)/IF(($E$17:$E$29-$D$17:$D$29)=0,1,($E$17:$E$29-$D$17:$D$29))&lt;$B$48,RM_Assumptions!B$22,IF((O$33-$D$17:$D$29)/IF(($E$17:$E$29-$D$17:$D$29)=0,1,($E$17:$E$29-$D$17:$D$29))&lt;$C$48,RM_Assumptions!C$22,IF((O$33-$D$17:$D$29)/IF(($E$17:$E$29-$D$17:$D$29)=0,1,($E$17:$E$29-$D$17:$D$29))&lt;$D$48,RM_Assumptions!D$22,IF((O$33-$D$17:$D$29)/IF(($E$17:$E$29-$D$17:$D$29)=0,1,($E$17:$E$29-$D$17:$D$29))&lt;$E$48,RM_Assumptions!E$22,IF((O$33-$D$17:$D$29)/IF(($E$17:$E$29-$D$17:$D$29)=0,1,($E$17:$E$29-$D$17:$D$29))&lt;$F$48,RM_Assumptions!F$22,RM_Assumptions!G$22)))))/IF($F$17:$F$29=0,1,$F$17:$F$29))/$F11)</f>
        <v>0</v>
      </c>
      <c r="P39" s="213" cm="1">
        <f t="array" aca="1" ref="P39" ca="1">IF($F11=0,0,SUMPRODUCT(($A$17:$A$29&lt;&gt;"")*(P$33&gt;=$D$17:$D$29)*(P$33&lt;$E$17:$E$29)*$C$17:$C$29*$L$17:$L$29*IF((P$33-$D$17:$D$29)/IF(($E$17:$E$29-$D$17:$D$29)=0,1,($E$17:$E$29-$D$17:$D$29))&lt;$B$48,RM_Assumptions!B$22,IF((P$33-$D$17:$D$29)/IF(($E$17:$E$29-$D$17:$D$29)=0,1,($E$17:$E$29-$D$17:$D$29))&lt;$C$48,RM_Assumptions!C$22,IF((P$33-$D$17:$D$29)/IF(($E$17:$E$29-$D$17:$D$29)=0,1,($E$17:$E$29-$D$17:$D$29))&lt;$D$48,RM_Assumptions!D$22,IF((P$33-$D$17:$D$29)/IF(($E$17:$E$29-$D$17:$D$29)=0,1,($E$17:$E$29-$D$17:$D$29))&lt;$E$48,RM_Assumptions!E$22,IF((P$33-$D$17:$D$29)/IF(($E$17:$E$29-$D$17:$D$29)=0,1,($E$17:$E$29-$D$17:$D$29))&lt;$F$48,RM_Assumptions!F$22,RM_Assumptions!G$22)))))/IF($F$17:$F$29=0,1,$F$17:$F$29))/$F11)</f>
        <v>0</v>
      </c>
      <c r="Q39" s="213" cm="1">
        <f t="array" aca="1" ref="Q39" ca="1">IF($F11=0,0,SUMPRODUCT(($A$17:$A$29&lt;&gt;"")*(Q$33&gt;=$D$17:$D$29)*(Q$33&lt;$E$17:$E$29)*$C$17:$C$29*$L$17:$L$29*IF((Q$33-$D$17:$D$29)/IF(($E$17:$E$29-$D$17:$D$29)=0,1,($E$17:$E$29-$D$17:$D$29))&lt;$B$48,RM_Assumptions!B$22,IF((Q$33-$D$17:$D$29)/IF(($E$17:$E$29-$D$17:$D$29)=0,1,($E$17:$E$29-$D$17:$D$29))&lt;$C$48,RM_Assumptions!C$22,IF((Q$33-$D$17:$D$29)/IF(($E$17:$E$29-$D$17:$D$29)=0,1,($E$17:$E$29-$D$17:$D$29))&lt;$D$48,RM_Assumptions!D$22,IF((Q$33-$D$17:$D$29)/IF(($E$17:$E$29-$D$17:$D$29)=0,1,($E$17:$E$29-$D$17:$D$29))&lt;$E$48,RM_Assumptions!E$22,IF((Q$33-$D$17:$D$29)/IF(($E$17:$E$29-$D$17:$D$29)=0,1,($E$17:$E$29-$D$17:$D$29))&lt;$F$48,RM_Assumptions!F$22,RM_Assumptions!G$22)))))/IF($F$17:$F$29=0,1,$F$17:$F$29))/$F11)</f>
        <v>0</v>
      </c>
    </row>
    <row r="40" spans="1:17">
      <c r="A40" s="176" t="s">
        <v>112</v>
      </c>
      <c r="B40" s="213" cm="1">
        <f t="array" aca="1" ref="B40" ca="1">IF($F12=0,0,SUMPRODUCT(($A$17:$A$29&lt;&gt;"")*(B$33&gt;=$D$17:$D$29)*(B$33&lt;$E$17:$E$29)*$C$17:$C$29*$M$17:$M$29*IF((B$33-$D$17:$D$29)/IF(($E$17:$E$29-$D$17:$D$29)=0,1,($E$17:$E$29-$D$17:$D$29))&lt;$B$48,RM_Assumptions!B$21,IF((B$33-$D$17:$D$29)/IF(($E$17:$E$29-$D$17:$D$29)=0,1,($E$17:$E$29-$D$17:$D$29))&lt;$C$48,RM_Assumptions!C$21,IF((B$33-$D$17:$D$29)/IF(($E$17:$E$29-$D$17:$D$29)=0,1,($E$17:$E$29-$D$17:$D$29))&lt;$D$48,RM_Assumptions!D$21,IF((B$33-$D$17:$D$29)/IF(($E$17:$E$29-$D$17:$D$29)=0,1,($E$17:$E$29-$D$17:$D$29))&lt;$E$48,RM_Assumptions!E$21,IF((B$33-$D$17:$D$29)/IF(($E$17:$E$29-$D$17:$D$29)=0,1,($E$17:$E$29-$D$17:$D$29))&lt;$F$48,RM_Assumptions!F$21,RM_Assumptions!G$21)))))/IF($F$17:$F$29=0,1,$F$17:$F$29))/$F12)</f>
        <v>4.8611111111111112E-3</v>
      </c>
      <c r="C40" s="213" cm="1">
        <f t="array" aca="1" ref="C40" ca="1">IF($F12=0,0,SUMPRODUCT(($A$17:$A$29&lt;&gt;"")*(C$33&gt;=$D$17:$D$29)*(C$33&lt;$E$17:$E$29)*$C$17:$C$29*$M$17:$M$29*IF((C$33-$D$17:$D$29)/IF(($E$17:$E$29-$D$17:$D$29)=0,1,($E$17:$E$29-$D$17:$D$29))&lt;$B$48,RM_Assumptions!B$21,IF((C$33-$D$17:$D$29)/IF(($E$17:$E$29-$D$17:$D$29)=0,1,($E$17:$E$29-$D$17:$D$29))&lt;$C$48,RM_Assumptions!C$21,IF((C$33-$D$17:$D$29)/IF(($E$17:$E$29-$D$17:$D$29)=0,1,($E$17:$E$29-$D$17:$D$29))&lt;$D$48,RM_Assumptions!D$21,IF((C$33-$D$17:$D$29)/IF(($E$17:$E$29-$D$17:$D$29)=0,1,($E$17:$E$29-$D$17:$D$29))&lt;$E$48,RM_Assumptions!E$21,IF((C$33-$D$17:$D$29)/IF(($E$17:$E$29-$D$17:$D$29)=0,1,($E$17:$E$29-$D$17:$D$29))&lt;$F$48,RM_Assumptions!F$21,RM_Assumptions!G$21)))))/IF($F$17:$F$29=0,1,$F$17:$F$29))/$F12)</f>
        <v>4.8611111111111112E-3</v>
      </c>
      <c r="D40" s="213" cm="1">
        <f t="array" aca="1" ref="D40" ca="1">IF($F12=0,0,SUMPRODUCT(($A$17:$A$29&lt;&gt;"")*(D$33&gt;=$D$17:$D$29)*(D$33&lt;$E$17:$E$29)*$C$17:$C$29*$M$17:$M$29*IF((D$33-$D$17:$D$29)/IF(($E$17:$E$29-$D$17:$D$29)=0,1,($E$17:$E$29-$D$17:$D$29))&lt;$B$48,RM_Assumptions!B$21,IF((D$33-$D$17:$D$29)/IF(($E$17:$E$29-$D$17:$D$29)=0,1,($E$17:$E$29-$D$17:$D$29))&lt;$C$48,RM_Assumptions!C$21,IF((D$33-$D$17:$D$29)/IF(($E$17:$E$29-$D$17:$D$29)=0,1,($E$17:$E$29-$D$17:$D$29))&lt;$D$48,RM_Assumptions!D$21,IF((D$33-$D$17:$D$29)/IF(($E$17:$E$29-$D$17:$D$29)=0,1,($E$17:$E$29-$D$17:$D$29))&lt;$E$48,RM_Assumptions!E$21,IF((D$33-$D$17:$D$29)/IF(($E$17:$E$29-$D$17:$D$29)=0,1,($E$17:$E$29-$D$17:$D$29))&lt;$F$48,RM_Assumptions!F$21,RM_Assumptions!G$21)))))/IF($F$17:$F$29=0,1,$F$17:$F$29))/$F12)</f>
        <v>6.4814814814814813E-3</v>
      </c>
      <c r="E40" s="213" cm="1">
        <f t="array" aca="1" ref="E40" ca="1">IF($F12=0,0,SUMPRODUCT(($A$17:$A$29&lt;&gt;"")*(E$33&gt;=$D$17:$D$29)*(E$33&lt;$E$17:$E$29)*$C$17:$C$29*$M$17:$M$29*IF((E$33-$D$17:$D$29)/IF(($E$17:$E$29-$D$17:$D$29)=0,1,($E$17:$E$29-$D$17:$D$29))&lt;$B$48,RM_Assumptions!B$21,IF((E$33-$D$17:$D$29)/IF(($E$17:$E$29-$D$17:$D$29)=0,1,($E$17:$E$29-$D$17:$D$29))&lt;$C$48,RM_Assumptions!C$21,IF((E$33-$D$17:$D$29)/IF(($E$17:$E$29-$D$17:$D$29)=0,1,($E$17:$E$29-$D$17:$D$29))&lt;$D$48,RM_Assumptions!D$21,IF((E$33-$D$17:$D$29)/IF(($E$17:$E$29-$D$17:$D$29)=0,1,($E$17:$E$29-$D$17:$D$29))&lt;$E$48,RM_Assumptions!E$21,IF((E$33-$D$17:$D$29)/IF(($E$17:$E$29-$D$17:$D$29)=0,1,($E$17:$E$29-$D$17:$D$29))&lt;$F$48,RM_Assumptions!F$21,RM_Assumptions!G$21)))))/IF($F$17:$F$29=0,1,$F$17:$F$29))/$F12)</f>
        <v>6.4814814814814813E-3</v>
      </c>
      <c r="F40" s="213" cm="1">
        <f t="array" aca="1" ref="F40" ca="1">IF($F12=0,0,SUMPRODUCT(($A$17:$A$29&lt;&gt;"")*(F$33&gt;=$D$17:$D$29)*(F$33&lt;$E$17:$E$29)*$C$17:$C$29*$M$17:$M$29*IF((F$33-$D$17:$D$29)/IF(($E$17:$E$29-$D$17:$D$29)=0,1,($E$17:$E$29-$D$17:$D$29))&lt;$B$48,RM_Assumptions!B$21,IF((F$33-$D$17:$D$29)/IF(($E$17:$E$29-$D$17:$D$29)=0,1,($E$17:$E$29-$D$17:$D$29))&lt;$C$48,RM_Assumptions!C$21,IF((F$33-$D$17:$D$29)/IF(($E$17:$E$29-$D$17:$D$29)=0,1,($E$17:$E$29-$D$17:$D$29))&lt;$D$48,RM_Assumptions!D$21,IF((F$33-$D$17:$D$29)/IF(($E$17:$E$29-$D$17:$D$29)=0,1,($E$17:$E$29-$D$17:$D$29))&lt;$E$48,RM_Assumptions!E$21,IF((F$33-$D$17:$D$29)/IF(($E$17:$E$29-$D$17:$D$29)=0,1,($E$17:$E$29-$D$17:$D$29))&lt;$F$48,RM_Assumptions!F$21,RM_Assumptions!G$21)))))/IF($F$17:$F$29=0,1,$F$17:$F$29))/$F12)</f>
        <v>6.4814814814814813E-3</v>
      </c>
      <c r="G40" s="213" cm="1">
        <f t="array" aca="1" ref="G40" ca="1">IF($F12=0,0,SUMPRODUCT(($A$17:$A$29&lt;&gt;"")*(G$33&gt;=$D$17:$D$29)*(G$33&lt;$E$17:$E$29)*$C$17:$C$29*$M$17:$M$29*IF((G$33-$D$17:$D$29)/IF(($E$17:$E$29-$D$17:$D$29)=0,1,($E$17:$E$29-$D$17:$D$29))&lt;$B$48,RM_Assumptions!B$21,IF((G$33-$D$17:$D$29)/IF(($E$17:$E$29-$D$17:$D$29)=0,1,($E$17:$E$29-$D$17:$D$29))&lt;$C$48,RM_Assumptions!C$21,IF((G$33-$D$17:$D$29)/IF(($E$17:$E$29-$D$17:$D$29)=0,1,($E$17:$E$29-$D$17:$D$29))&lt;$D$48,RM_Assumptions!D$21,IF((G$33-$D$17:$D$29)/IF(($E$17:$E$29-$D$17:$D$29)=0,1,($E$17:$E$29-$D$17:$D$29))&lt;$E$48,RM_Assumptions!E$21,IF((G$33-$D$17:$D$29)/IF(($E$17:$E$29-$D$17:$D$29)=0,1,($E$17:$E$29-$D$17:$D$29))&lt;$F$48,RM_Assumptions!F$21,RM_Assumptions!G$21)))))/IF($F$17:$F$29=0,1,$F$17:$F$29))/$F12)</f>
        <v>6.4814814814814813E-3</v>
      </c>
      <c r="H40" s="213" cm="1">
        <f t="array" aca="1" ref="H40" ca="1">IF($F12=0,0,SUMPRODUCT(($A$17:$A$29&lt;&gt;"")*(H$33&gt;=$D$17:$D$29)*(H$33&lt;$E$17:$E$29)*$C$17:$C$29*$M$17:$M$29*IF((H$33-$D$17:$D$29)/IF(($E$17:$E$29-$D$17:$D$29)=0,1,($E$17:$E$29-$D$17:$D$29))&lt;$B$48,RM_Assumptions!B$21,IF((H$33-$D$17:$D$29)/IF(($E$17:$E$29-$D$17:$D$29)=0,1,($E$17:$E$29-$D$17:$D$29))&lt;$C$48,RM_Assumptions!C$21,IF((H$33-$D$17:$D$29)/IF(($E$17:$E$29-$D$17:$D$29)=0,1,($E$17:$E$29-$D$17:$D$29))&lt;$D$48,RM_Assumptions!D$21,IF((H$33-$D$17:$D$29)/IF(($E$17:$E$29-$D$17:$D$29)=0,1,($E$17:$E$29-$D$17:$D$29))&lt;$E$48,RM_Assumptions!E$21,IF((H$33-$D$17:$D$29)/IF(($E$17:$E$29-$D$17:$D$29)=0,1,($E$17:$E$29-$D$17:$D$29))&lt;$F$48,RM_Assumptions!F$21,RM_Assumptions!G$21)))))/IF($F$17:$F$29=0,1,$F$17:$F$29))/$F12)</f>
        <v>6.4814814814814813E-3</v>
      </c>
      <c r="I40" s="213" cm="1">
        <f t="array" aca="1" ref="I40" ca="1">IF($F12=0,0,SUMPRODUCT(($A$17:$A$29&lt;&gt;"")*(I$33&gt;=$D$17:$D$29)*(I$33&lt;$E$17:$E$29)*$C$17:$C$29*$M$17:$M$29*IF((I$33-$D$17:$D$29)/IF(($E$17:$E$29-$D$17:$D$29)=0,1,($E$17:$E$29-$D$17:$D$29))&lt;$B$48,RM_Assumptions!B$21,IF((I$33-$D$17:$D$29)/IF(($E$17:$E$29-$D$17:$D$29)=0,1,($E$17:$E$29-$D$17:$D$29))&lt;$C$48,RM_Assumptions!C$21,IF((I$33-$D$17:$D$29)/IF(($E$17:$E$29-$D$17:$D$29)=0,1,($E$17:$E$29-$D$17:$D$29))&lt;$D$48,RM_Assumptions!D$21,IF((I$33-$D$17:$D$29)/IF(($E$17:$E$29-$D$17:$D$29)=0,1,($E$17:$E$29-$D$17:$D$29))&lt;$E$48,RM_Assumptions!E$21,IF((I$33-$D$17:$D$29)/IF(($E$17:$E$29-$D$17:$D$29)=0,1,($E$17:$E$29-$D$17:$D$29))&lt;$F$48,RM_Assumptions!F$21,RM_Assumptions!G$21)))))/IF($F$17:$F$29=0,1,$F$17:$F$29))/$F12)</f>
        <v>6.4814814814814813E-3</v>
      </c>
      <c r="J40" s="213" cm="1">
        <f t="array" aca="1" ref="J40" ca="1">IF($F12=0,0,SUMPRODUCT(($A$17:$A$29&lt;&gt;"")*(J$33&gt;=$D$17:$D$29)*(J$33&lt;$E$17:$E$29)*$C$17:$C$29*$M$17:$M$29*IF((J$33-$D$17:$D$29)/IF(($E$17:$E$29-$D$17:$D$29)=0,1,($E$17:$E$29-$D$17:$D$29))&lt;$B$48,RM_Assumptions!B$21,IF((J$33-$D$17:$D$29)/IF(($E$17:$E$29-$D$17:$D$29)=0,1,($E$17:$E$29-$D$17:$D$29))&lt;$C$48,RM_Assumptions!C$21,IF((J$33-$D$17:$D$29)/IF(($E$17:$E$29-$D$17:$D$29)=0,1,($E$17:$E$29-$D$17:$D$29))&lt;$D$48,RM_Assumptions!D$21,IF((J$33-$D$17:$D$29)/IF(($E$17:$E$29-$D$17:$D$29)=0,1,($E$17:$E$29-$D$17:$D$29))&lt;$E$48,RM_Assumptions!E$21,IF((J$33-$D$17:$D$29)/IF(($E$17:$E$29-$D$17:$D$29)=0,1,($E$17:$E$29-$D$17:$D$29))&lt;$F$48,RM_Assumptions!F$21,RM_Assumptions!G$21)))))/IF($F$17:$F$29=0,1,$F$17:$F$29))/$F12)</f>
        <v>6.4814814814814813E-3</v>
      </c>
      <c r="K40" s="213" cm="1">
        <f t="array" aca="1" ref="K40" ca="1">IF($F12=0,0,SUMPRODUCT(($A$17:$A$29&lt;&gt;"")*(K$33&gt;=$D$17:$D$29)*(K$33&lt;$E$17:$E$29)*$C$17:$C$29*$M$17:$M$29*IF((K$33-$D$17:$D$29)/IF(($E$17:$E$29-$D$17:$D$29)=0,1,($E$17:$E$29-$D$17:$D$29))&lt;$B$48,RM_Assumptions!B$21,IF((K$33-$D$17:$D$29)/IF(($E$17:$E$29-$D$17:$D$29)=0,1,($E$17:$E$29-$D$17:$D$29))&lt;$C$48,RM_Assumptions!C$21,IF((K$33-$D$17:$D$29)/IF(($E$17:$E$29-$D$17:$D$29)=0,1,($E$17:$E$29-$D$17:$D$29))&lt;$D$48,RM_Assumptions!D$21,IF((K$33-$D$17:$D$29)/IF(($E$17:$E$29-$D$17:$D$29)=0,1,($E$17:$E$29-$D$17:$D$29))&lt;$E$48,RM_Assumptions!E$21,IF((K$33-$D$17:$D$29)/IF(($E$17:$E$29-$D$17:$D$29)=0,1,($E$17:$E$29-$D$17:$D$29))&lt;$F$48,RM_Assumptions!F$21,RM_Assumptions!G$21)))))/IF($F$17:$F$29=0,1,$F$17:$F$29))/$F12)</f>
        <v>6.4814814814814813E-3</v>
      </c>
      <c r="L40" s="213" cm="1">
        <f t="array" aca="1" ref="L40" ca="1">IF($F12=0,0,SUMPRODUCT(($A$17:$A$29&lt;&gt;"")*(L$33&gt;=$D$17:$D$29)*(L$33&lt;$E$17:$E$29)*$C$17:$C$29*$M$17:$M$29*IF((L$33-$D$17:$D$29)/IF(($E$17:$E$29-$D$17:$D$29)=0,1,($E$17:$E$29-$D$17:$D$29))&lt;$B$48,RM_Assumptions!B$21,IF((L$33-$D$17:$D$29)/IF(($E$17:$E$29-$D$17:$D$29)=0,1,($E$17:$E$29-$D$17:$D$29))&lt;$C$48,RM_Assumptions!C$21,IF((L$33-$D$17:$D$29)/IF(($E$17:$E$29-$D$17:$D$29)=0,1,($E$17:$E$29-$D$17:$D$29))&lt;$D$48,RM_Assumptions!D$21,IF((L$33-$D$17:$D$29)/IF(($E$17:$E$29-$D$17:$D$29)=0,1,($E$17:$E$29-$D$17:$D$29))&lt;$E$48,RM_Assumptions!E$21,IF((L$33-$D$17:$D$29)/IF(($E$17:$E$29-$D$17:$D$29)=0,1,($E$17:$E$29-$D$17:$D$29))&lt;$F$48,RM_Assumptions!F$21,RM_Assumptions!G$21)))))/IF($F$17:$F$29=0,1,$F$17:$F$29))/$F12)</f>
        <v>6.4814814814814813E-3</v>
      </c>
      <c r="M40" s="213" cm="1">
        <f t="array" aca="1" ref="M40" ca="1">IF($F12=0,0,SUMPRODUCT(($A$17:$A$29&lt;&gt;"")*(M$33&gt;=$D$17:$D$29)*(M$33&lt;$E$17:$E$29)*$C$17:$C$29*$M$17:$M$29*IF((M$33-$D$17:$D$29)/IF(($E$17:$E$29-$D$17:$D$29)=0,1,($E$17:$E$29-$D$17:$D$29))&lt;$B$48,RM_Assumptions!B$21,IF((M$33-$D$17:$D$29)/IF(($E$17:$E$29-$D$17:$D$29)=0,1,($E$17:$E$29-$D$17:$D$29))&lt;$C$48,RM_Assumptions!C$21,IF((M$33-$D$17:$D$29)/IF(($E$17:$E$29-$D$17:$D$29)=0,1,($E$17:$E$29-$D$17:$D$29))&lt;$D$48,RM_Assumptions!D$21,IF((M$33-$D$17:$D$29)/IF(($E$17:$E$29-$D$17:$D$29)=0,1,($E$17:$E$29-$D$17:$D$29))&lt;$E$48,RM_Assumptions!E$21,IF((M$33-$D$17:$D$29)/IF(($E$17:$E$29-$D$17:$D$29)=0,1,($E$17:$E$29-$D$17:$D$29))&lt;$F$48,RM_Assumptions!F$21,RM_Assumptions!G$21)))))/IF($F$17:$F$29=0,1,$F$17:$F$29))/$F12)</f>
        <v>6.4814814814814813E-3</v>
      </c>
      <c r="N40" s="213" cm="1">
        <f t="array" aca="1" ref="N40" ca="1">IF($F12=0,0,SUMPRODUCT(($A$17:$A$29&lt;&gt;"")*(N$33&gt;=$D$17:$D$29)*(N$33&lt;$E$17:$E$29)*$C$17:$C$29*$M$17:$M$29*IF((N$33-$D$17:$D$29)/IF(($E$17:$E$29-$D$17:$D$29)=0,1,($E$17:$E$29-$D$17:$D$29))&lt;$B$48,RM_Assumptions!B$21,IF((N$33-$D$17:$D$29)/IF(($E$17:$E$29-$D$17:$D$29)=0,1,($E$17:$E$29-$D$17:$D$29))&lt;$C$48,RM_Assumptions!C$21,IF((N$33-$D$17:$D$29)/IF(($E$17:$E$29-$D$17:$D$29)=0,1,($E$17:$E$29-$D$17:$D$29))&lt;$D$48,RM_Assumptions!D$21,IF((N$33-$D$17:$D$29)/IF(($E$17:$E$29-$D$17:$D$29)=0,1,($E$17:$E$29-$D$17:$D$29))&lt;$E$48,RM_Assumptions!E$21,IF((N$33-$D$17:$D$29)/IF(($E$17:$E$29-$D$17:$D$29)=0,1,($E$17:$E$29-$D$17:$D$29))&lt;$F$48,RM_Assumptions!F$21,RM_Assumptions!G$21)))))/IF($F$17:$F$29=0,1,$F$17:$F$29))/$F12)</f>
        <v>3.2407407407407406E-3</v>
      </c>
      <c r="O40" s="213" cm="1">
        <f t="array" aca="1" ref="O40" ca="1">IF($F12=0,0,SUMPRODUCT(($A$17:$A$29&lt;&gt;"")*(O$33&gt;=$D$17:$D$29)*(O$33&lt;$E$17:$E$29)*$C$17:$C$29*$M$17:$M$29*IF((O$33-$D$17:$D$29)/IF(($E$17:$E$29-$D$17:$D$29)=0,1,($E$17:$E$29-$D$17:$D$29))&lt;$B$48,RM_Assumptions!B$21,IF((O$33-$D$17:$D$29)/IF(($E$17:$E$29-$D$17:$D$29)=0,1,($E$17:$E$29-$D$17:$D$29))&lt;$C$48,RM_Assumptions!C$21,IF((O$33-$D$17:$D$29)/IF(($E$17:$E$29-$D$17:$D$29)=0,1,($E$17:$E$29-$D$17:$D$29))&lt;$D$48,RM_Assumptions!D$21,IF((O$33-$D$17:$D$29)/IF(($E$17:$E$29-$D$17:$D$29)=0,1,($E$17:$E$29-$D$17:$D$29))&lt;$E$48,RM_Assumptions!E$21,IF((O$33-$D$17:$D$29)/IF(($E$17:$E$29-$D$17:$D$29)=0,1,($E$17:$E$29-$D$17:$D$29))&lt;$F$48,RM_Assumptions!F$21,RM_Assumptions!G$21)))))/IF($F$17:$F$29=0,1,$F$17:$F$29))/$F12)</f>
        <v>3.2407407407407406E-3</v>
      </c>
      <c r="P40" s="213" cm="1">
        <f t="array" aca="1" ref="P40" ca="1">IF($F12=0,0,SUMPRODUCT(($A$17:$A$29&lt;&gt;"")*(P$33&gt;=$D$17:$D$29)*(P$33&lt;$E$17:$E$29)*$C$17:$C$29*$M$17:$M$29*IF((P$33-$D$17:$D$29)/IF(($E$17:$E$29-$D$17:$D$29)=0,1,($E$17:$E$29-$D$17:$D$29))&lt;$B$48,RM_Assumptions!B$21,IF((P$33-$D$17:$D$29)/IF(($E$17:$E$29-$D$17:$D$29)=0,1,($E$17:$E$29-$D$17:$D$29))&lt;$C$48,RM_Assumptions!C$21,IF((P$33-$D$17:$D$29)/IF(($E$17:$E$29-$D$17:$D$29)=0,1,($E$17:$E$29-$D$17:$D$29))&lt;$D$48,RM_Assumptions!D$21,IF((P$33-$D$17:$D$29)/IF(($E$17:$E$29-$D$17:$D$29)=0,1,($E$17:$E$29-$D$17:$D$29))&lt;$E$48,RM_Assumptions!E$21,IF((P$33-$D$17:$D$29)/IF(($E$17:$E$29-$D$17:$D$29)=0,1,($E$17:$E$29-$D$17:$D$29))&lt;$F$48,RM_Assumptions!F$21,RM_Assumptions!G$21)))))/IF($F$17:$F$29=0,1,$F$17:$F$29))/$F12)</f>
        <v>3.2407407407407406E-3</v>
      </c>
      <c r="Q40" s="213" cm="1">
        <f t="array" aca="1" ref="Q40" ca="1">IF($F12=0,0,SUMPRODUCT(($A$17:$A$29&lt;&gt;"")*(Q$33&gt;=$D$17:$D$29)*(Q$33&lt;$E$17:$E$29)*$C$17:$C$29*$M$17:$M$29*IF((Q$33-$D$17:$D$29)/IF(($E$17:$E$29-$D$17:$D$29)=0,1,($E$17:$E$29-$D$17:$D$29))&lt;$B$48,RM_Assumptions!B$21,IF((Q$33-$D$17:$D$29)/IF(($E$17:$E$29-$D$17:$D$29)=0,1,($E$17:$E$29-$D$17:$D$29))&lt;$C$48,RM_Assumptions!C$21,IF((Q$33-$D$17:$D$29)/IF(($E$17:$E$29-$D$17:$D$29)=0,1,($E$17:$E$29-$D$17:$D$29))&lt;$D$48,RM_Assumptions!D$21,IF((Q$33-$D$17:$D$29)/IF(($E$17:$E$29-$D$17:$D$29)=0,1,($E$17:$E$29-$D$17:$D$29))&lt;$E$48,RM_Assumptions!E$21,IF((Q$33-$D$17:$D$29)/IF(($E$17:$E$29-$D$17:$D$29)=0,1,($E$17:$E$29-$D$17:$D$29))&lt;$F$48,RM_Assumptions!F$21,RM_Assumptions!G$21)))))/IF($F$17:$F$29=0,1,$F$17:$F$29))/$F12)</f>
        <v>0</v>
      </c>
    </row>
    <row r="42" spans="1:17">
      <c r="A42" s="214" t="s">
        <v>524</v>
      </c>
    </row>
    <row r="43" spans="1:17">
      <c r="A43" s="175" t="s">
        <v>525</v>
      </c>
    </row>
    <row r="45" spans="1:17">
      <c r="A45" s="194" t="s">
        <v>526</v>
      </c>
    </row>
    <row r="46" spans="1:17">
      <c r="A46" s="202" t="s">
        <v>527</v>
      </c>
      <c r="B46" s="179" t="s">
        <v>421</v>
      </c>
      <c r="C46" s="179" t="s">
        <v>422</v>
      </c>
      <c r="D46" s="179" t="s">
        <v>423</v>
      </c>
      <c r="E46" s="179" t="s">
        <v>424</v>
      </c>
      <c r="F46" s="179" t="s">
        <v>425</v>
      </c>
      <c r="G46" s="179" t="s">
        <v>528</v>
      </c>
      <c r="H46" s="179"/>
    </row>
    <row r="47" spans="1:17">
      <c r="A47" t="s">
        <v>529</v>
      </c>
      <c r="B47" s="185">
        <f>RM_Assumptions!B16</f>
        <v>0.1</v>
      </c>
      <c r="C47" s="185">
        <f>RM_Assumptions!C16</f>
        <v>0.1</v>
      </c>
      <c r="D47" s="185">
        <f>RM_Assumptions!D16</f>
        <v>0.15</v>
      </c>
      <c r="E47" s="185">
        <f>RM_Assumptions!E16</f>
        <v>0.3</v>
      </c>
      <c r="F47" s="185">
        <f>RM_Assumptions!F16</f>
        <v>0.2</v>
      </c>
      <c r="G47" s="185">
        <f>RM_Assumptions!G16</f>
        <v>0.15</v>
      </c>
    </row>
    <row r="48" spans="1:17">
      <c r="A48" t="s">
        <v>530</v>
      </c>
      <c r="B48" s="185">
        <f>B47</f>
        <v>0.1</v>
      </c>
      <c r="C48" s="185">
        <f>B48+C47</f>
        <v>0.2</v>
      </c>
      <c r="D48" s="185">
        <f>C48+D47</f>
        <v>0.35</v>
      </c>
      <c r="E48" s="185">
        <f>D48+E47</f>
        <v>0.64999999999999991</v>
      </c>
      <c r="F48" s="185">
        <f>E48+F47</f>
        <v>0.84999999999999987</v>
      </c>
      <c r="G48" s="185">
        <f>F48+G47</f>
        <v>0.99999999999999989</v>
      </c>
    </row>
  </sheetData>
  <conditionalFormatting sqref="B34:Q40">
    <cfRule type="cellIs" dxfId="33" priority="1" operator="lessThan">
      <formula>0.8</formula>
    </cfRule>
  </conditionalFormatting>
  <conditionalFormatting sqref="B34:Q40">
    <cfRule type="cellIs" dxfId="32" priority="2" operator="between">
      <formula>0.8</formula>
      <formula>1</formula>
    </cfRule>
  </conditionalFormatting>
  <conditionalFormatting sqref="B34:Q40">
    <cfRule type="cellIs" dxfId="31" priority="3" operator="greaterThanOrEqual">
      <formula>1</formula>
    </cfRule>
  </conditionalFormatting>
  <conditionalFormatting sqref="B34:Q40">
    <cfRule type="cellIs" dxfId="30" priority="4" operator="lessThan">
      <formula>0.8</formula>
    </cfRule>
  </conditionalFormatting>
  <conditionalFormatting sqref="B34:Q40">
    <cfRule type="cellIs" dxfId="29" priority="5" operator="between">
      <formula>0.8</formula>
      <formula>0.9999</formula>
    </cfRule>
  </conditionalFormatting>
  <conditionalFormatting sqref="B34:Q40">
    <cfRule type="cellIs" dxfId="28" priority="6" operator="greaterThanOrEqual">
      <formula>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5F6D-54F1-482F-8193-C0A3E0ACDB69}">
  <dimension ref="A1:BB35"/>
  <sheetViews>
    <sheetView tabSelected="1" workbookViewId="0">
      <pane xSplit="2" ySplit="5" topLeftCell="C6" activePane="bottomRight" state="frozen"/>
      <selection pane="bottomRight"/>
      <selection pane="bottomLeft"/>
      <selection pane="topRight"/>
    </sheetView>
  </sheetViews>
  <sheetFormatPr defaultRowHeight="15"/>
  <cols>
    <col min="1" max="1" width="11.42578125" customWidth="1"/>
    <col min="2" max="2" width="38.140625" customWidth="1"/>
    <col min="3" max="3" width="11.42578125" customWidth="1"/>
    <col min="4" max="4" width="9.5703125" customWidth="1"/>
    <col min="5" max="8" width="14.28515625" customWidth="1"/>
    <col min="9" max="9" width="10.42578125" customWidth="1"/>
    <col min="10" max="54" width="7.5703125" customWidth="1"/>
  </cols>
  <sheetData>
    <row r="1" spans="1:54" ht="18.75">
      <c r="A1" s="243" t="s">
        <v>531</v>
      </c>
    </row>
    <row r="2" spans="1:54">
      <c r="A2" s="175" t="s">
        <v>532</v>
      </c>
    </row>
    <row r="3" spans="1:54">
      <c r="A3" s="244" t="s">
        <v>533</v>
      </c>
    </row>
    <row r="5" spans="1:54">
      <c r="A5" s="245" t="s">
        <v>102</v>
      </c>
      <c r="B5" s="245" t="s">
        <v>103</v>
      </c>
      <c r="C5" s="245" t="s">
        <v>108</v>
      </c>
      <c r="D5" s="245" t="s">
        <v>534</v>
      </c>
      <c r="E5" s="245" t="s">
        <v>535</v>
      </c>
      <c r="F5" s="245" t="s">
        <v>536</v>
      </c>
      <c r="G5" s="245" t="s">
        <v>537</v>
      </c>
      <c r="H5" s="245" t="s">
        <v>538</v>
      </c>
      <c r="I5" s="245" t="s">
        <v>539</v>
      </c>
      <c r="J5" s="246">
        <v>45944</v>
      </c>
      <c r="K5" s="246">
        <v>45951</v>
      </c>
      <c r="L5" s="246">
        <v>45958</v>
      </c>
      <c r="M5" s="246">
        <v>45965</v>
      </c>
      <c r="N5" s="246">
        <v>45972</v>
      </c>
      <c r="O5" s="246">
        <v>45979</v>
      </c>
      <c r="P5" s="246">
        <v>45986</v>
      </c>
      <c r="Q5" s="246">
        <v>45993</v>
      </c>
      <c r="R5" s="246">
        <v>46000</v>
      </c>
      <c r="S5" s="246">
        <v>46007</v>
      </c>
      <c r="T5" s="246">
        <v>46014</v>
      </c>
      <c r="U5" s="246">
        <v>46021</v>
      </c>
      <c r="V5" s="246">
        <v>46028</v>
      </c>
      <c r="W5" s="246">
        <v>46035</v>
      </c>
      <c r="X5" s="246">
        <v>46042</v>
      </c>
      <c r="Y5" s="246">
        <v>46049</v>
      </c>
      <c r="Z5" s="246">
        <v>46056</v>
      </c>
      <c r="AA5" s="246">
        <v>46063</v>
      </c>
      <c r="AB5" s="246">
        <v>46070</v>
      </c>
      <c r="AC5" s="246">
        <v>46077</v>
      </c>
      <c r="AD5" s="246">
        <v>46084</v>
      </c>
      <c r="AE5" s="246">
        <v>46091</v>
      </c>
      <c r="AF5" s="246">
        <v>46098</v>
      </c>
      <c r="AG5" s="246">
        <v>46105</v>
      </c>
      <c r="AH5" s="241">
        <v>46112</v>
      </c>
      <c r="AI5" s="241">
        <v>46119</v>
      </c>
      <c r="AJ5" s="241">
        <v>46126</v>
      </c>
      <c r="AK5" s="241">
        <v>46133</v>
      </c>
      <c r="AL5" s="241">
        <v>46140</v>
      </c>
      <c r="AM5" s="241">
        <v>46147</v>
      </c>
      <c r="AN5" s="241">
        <v>46154</v>
      </c>
      <c r="AO5" s="241">
        <v>46161</v>
      </c>
      <c r="AP5" s="241">
        <v>46168</v>
      </c>
      <c r="AQ5" s="241">
        <v>46175</v>
      </c>
      <c r="AR5" s="241">
        <v>46182</v>
      </c>
      <c r="AS5" s="241">
        <v>46189</v>
      </c>
      <c r="AT5" s="241">
        <v>46196</v>
      </c>
      <c r="AU5" s="241">
        <v>46203</v>
      </c>
      <c r="AV5" s="241">
        <v>46210</v>
      </c>
      <c r="AW5" s="241">
        <v>46217</v>
      </c>
      <c r="AX5" s="241">
        <v>46224</v>
      </c>
      <c r="AY5" s="241">
        <v>46231</v>
      </c>
      <c r="AZ5" s="241">
        <v>46238</v>
      </c>
      <c r="BA5" s="241">
        <v>46245</v>
      </c>
      <c r="BB5" s="241">
        <v>46252</v>
      </c>
    </row>
    <row r="6" spans="1:54">
      <c r="A6" t="s">
        <v>169</v>
      </c>
      <c r="B6" t="s">
        <v>170</v>
      </c>
      <c r="C6" s="248" t="s">
        <v>171</v>
      </c>
      <c r="D6">
        <v>40</v>
      </c>
      <c r="E6" s="237">
        <v>46108</v>
      </c>
      <c r="F6" s="237">
        <v>46192</v>
      </c>
      <c r="G6" s="237">
        <v>46108</v>
      </c>
      <c r="H6" s="237">
        <v>46192</v>
      </c>
      <c r="I6" t="s">
        <v>540</v>
      </c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  <c r="X6" s="247"/>
      <c r="Y6" s="247"/>
      <c r="Z6" s="247"/>
      <c r="AA6" s="247"/>
      <c r="AB6" s="247"/>
      <c r="AC6" s="247"/>
      <c r="AD6" s="247"/>
      <c r="AE6" s="247"/>
      <c r="AF6" s="247"/>
      <c r="AG6" s="247"/>
      <c r="AH6" s="247" t="s">
        <v>541</v>
      </c>
      <c r="AI6" s="247" t="s">
        <v>541</v>
      </c>
      <c r="AJ6" s="247" t="s">
        <v>541</v>
      </c>
      <c r="AK6" s="247" t="s">
        <v>541</v>
      </c>
      <c r="AL6" s="247" t="s">
        <v>541</v>
      </c>
      <c r="AM6" s="247" t="s">
        <v>541</v>
      </c>
      <c r="AN6" s="247" t="s">
        <v>541</v>
      </c>
      <c r="AO6" s="247" t="s">
        <v>541</v>
      </c>
      <c r="AP6" s="247" t="s">
        <v>541</v>
      </c>
      <c r="AQ6" s="247" t="s">
        <v>541</v>
      </c>
      <c r="AR6" s="247" t="s">
        <v>541</v>
      </c>
      <c r="AS6" s="247" t="s">
        <v>541</v>
      </c>
      <c r="AT6" s="247"/>
      <c r="AU6" s="247"/>
      <c r="AV6" s="247"/>
      <c r="AW6" s="247"/>
      <c r="AX6" s="247"/>
      <c r="AY6" s="247"/>
      <c r="AZ6" s="247"/>
      <c r="BA6" s="247"/>
      <c r="BB6" s="247"/>
    </row>
    <row r="7" spans="1:54">
      <c r="A7" t="s">
        <v>172</v>
      </c>
      <c r="B7" t="s">
        <v>542</v>
      </c>
      <c r="C7" s="248" t="s">
        <v>171</v>
      </c>
      <c r="D7">
        <v>200</v>
      </c>
      <c r="E7" s="237">
        <v>46108</v>
      </c>
      <c r="F7" s="237">
        <v>46192</v>
      </c>
      <c r="G7" s="237">
        <v>46108</v>
      </c>
      <c r="H7" s="237">
        <v>46192</v>
      </c>
      <c r="I7" t="s">
        <v>540</v>
      </c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 t="s">
        <v>541</v>
      </c>
      <c r="AI7" s="247" t="s">
        <v>541</v>
      </c>
      <c r="AJ7" s="247" t="s">
        <v>541</v>
      </c>
      <c r="AK7" s="247" t="s">
        <v>541</v>
      </c>
      <c r="AL7" s="247" t="s">
        <v>541</v>
      </c>
      <c r="AM7" s="247" t="s">
        <v>541</v>
      </c>
      <c r="AN7" s="247" t="s">
        <v>541</v>
      </c>
      <c r="AO7" s="247" t="s">
        <v>541</v>
      </c>
      <c r="AP7" s="247" t="s">
        <v>541</v>
      </c>
      <c r="AQ7" s="247" t="s">
        <v>541</v>
      </c>
      <c r="AR7" s="247" t="s">
        <v>541</v>
      </c>
      <c r="AS7" s="247" t="s">
        <v>541</v>
      </c>
      <c r="AT7" s="247"/>
      <c r="AU7" s="247"/>
      <c r="AV7" s="247"/>
      <c r="AW7" s="247"/>
      <c r="AX7" s="247"/>
      <c r="AY7" s="247"/>
      <c r="AZ7" s="247"/>
      <c r="BA7" s="247"/>
      <c r="BB7" s="247"/>
    </row>
    <row r="8" spans="1:54">
      <c r="A8" t="s">
        <v>176</v>
      </c>
      <c r="B8" t="s">
        <v>177</v>
      </c>
      <c r="C8" s="248" t="s">
        <v>171</v>
      </c>
      <c r="D8">
        <v>200</v>
      </c>
      <c r="E8" s="237">
        <v>46108</v>
      </c>
      <c r="F8" s="237">
        <v>46192</v>
      </c>
      <c r="G8" s="237">
        <v>46108</v>
      </c>
      <c r="H8" s="237">
        <v>46192</v>
      </c>
      <c r="I8" t="s">
        <v>540</v>
      </c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 t="s">
        <v>541</v>
      </c>
      <c r="AI8" s="247" t="s">
        <v>541</v>
      </c>
      <c r="AJ8" s="247" t="s">
        <v>541</v>
      </c>
      <c r="AK8" s="247" t="s">
        <v>541</v>
      </c>
      <c r="AL8" s="247" t="s">
        <v>541</v>
      </c>
      <c r="AM8" s="247" t="s">
        <v>541</v>
      </c>
      <c r="AN8" s="247" t="s">
        <v>541</v>
      </c>
      <c r="AO8" s="247" t="s">
        <v>541</v>
      </c>
      <c r="AP8" s="247" t="s">
        <v>541</v>
      </c>
      <c r="AQ8" s="247" t="s">
        <v>541</v>
      </c>
      <c r="AR8" s="247" t="s">
        <v>541</v>
      </c>
      <c r="AS8" s="247" t="s">
        <v>541</v>
      </c>
      <c r="AT8" s="247"/>
      <c r="AU8" s="247"/>
      <c r="AV8" s="247"/>
      <c r="AW8" s="247"/>
      <c r="AX8" s="247"/>
      <c r="AY8" s="247"/>
      <c r="AZ8" s="247"/>
      <c r="BA8" s="247"/>
      <c r="BB8" s="247"/>
    </row>
    <row r="9" spans="1:54">
      <c r="A9" t="s">
        <v>127</v>
      </c>
      <c r="B9" t="s">
        <v>128</v>
      </c>
      <c r="C9" s="249" t="s">
        <v>133</v>
      </c>
      <c r="D9">
        <v>1480</v>
      </c>
      <c r="E9" s="237">
        <v>45944</v>
      </c>
      <c r="F9" s="237">
        <v>46174</v>
      </c>
      <c r="G9" s="237">
        <v>45944</v>
      </c>
      <c r="H9" s="237">
        <v>46174</v>
      </c>
      <c r="I9" t="s">
        <v>540</v>
      </c>
      <c r="J9" s="247" t="s">
        <v>541</v>
      </c>
      <c r="K9" s="247" t="s">
        <v>541</v>
      </c>
      <c r="L9" s="247" t="s">
        <v>541</v>
      </c>
      <c r="M9" s="247" t="s">
        <v>541</v>
      </c>
      <c r="N9" s="247" t="s">
        <v>541</v>
      </c>
      <c r="O9" s="247" t="s">
        <v>541</v>
      </c>
      <c r="P9" s="247" t="s">
        <v>541</v>
      </c>
      <c r="Q9" s="247" t="s">
        <v>541</v>
      </c>
      <c r="R9" s="247" t="s">
        <v>541</v>
      </c>
      <c r="S9" s="247" t="s">
        <v>541</v>
      </c>
      <c r="T9" s="247" t="s">
        <v>541</v>
      </c>
      <c r="U9" s="247" t="s">
        <v>541</v>
      </c>
      <c r="V9" s="247" t="s">
        <v>541</v>
      </c>
      <c r="W9" s="247" t="s">
        <v>541</v>
      </c>
      <c r="X9" s="247" t="s">
        <v>541</v>
      </c>
      <c r="Y9" s="247" t="s">
        <v>541</v>
      </c>
      <c r="Z9" s="247" t="s">
        <v>541</v>
      </c>
      <c r="AA9" s="247" t="s">
        <v>541</v>
      </c>
      <c r="AB9" s="247" t="s">
        <v>541</v>
      </c>
      <c r="AC9" s="247" t="s">
        <v>541</v>
      </c>
      <c r="AD9" s="247" t="s">
        <v>541</v>
      </c>
      <c r="AE9" s="247" t="s">
        <v>541</v>
      </c>
      <c r="AF9" s="247" t="s">
        <v>541</v>
      </c>
      <c r="AG9" s="247" t="s">
        <v>541</v>
      </c>
      <c r="AH9" s="247" t="s">
        <v>541</v>
      </c>
      <c r="AI9" s="247" t="s">
        <v>541</v>
      </c>
      <c r="AJ9" s="247" t="s">
        <v>541</v>
      </c>
      <c r="AK9" s="247" t="s">
        <v>541</v>
      </c>
      <c r="AL9" s="247" t="s">
        <v>541</v>
      </c>
      <c r="AM9" s="247" t="s">
        <v>541</v>
      </c>
      <c r="AN9" s="247" t="s">
        <v>541</v>
      </c>
      <c r="AO9" s="247" t="s">
        <v>541</v>
      </c>
      <c r="AP9" s="247" t="s">
        <v>541</v>
      </c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</row>
    <row r="10" spans="1:54">
      <c r="A10" t="s">
        <v>136</v>
      </c>
      <c r="B10" t="s">
        <v>137</v>
      </c>
      <c r="C10" s="249" t="s">
        <v>133</v>
      </c>
      <c r="D10">
        <v>240</v>
      </c>
      <c r="E10" s="237">
        <v>46068</v>
      </c>
      <c r="F10" s="237">
        <v>46203</v>
      </c>
      <c r="G10" s="237">
        <v>46068</v>
      </c>
      <c r="H10" s="237">
        <v>46203</v>
      </c>
      <c r="I10" t="s">
        <v>540</v>
      </c>
      <c r="J10" s="247"/>
      <c r="K10" s="247"/>
      <c r="L10" s="247"/>
      <c r="M10" s="247"/>
      <c r="N10" s="247"/>
      <c r="O10" s="247"/>
      <c r="P10" s="247"/>
      <c r="Q10" s="247"/>
      <c r="R10" s="247"/>
      <c r="S10" s="247"/>
      <c r="T10" s="247"/>
      <c r="U10" s="247"/>
      <c r="V10" s="247"/>
      <c r="W10" s="247"/>
      <c r="X10" s="247"/>
      <c r="Y10" s="247"/>
      <c r="Z10" s="247"/>
      <c r="AA10" s="247"/>
      <c r="AB10" s="247" t="s">
        <v>541</v>
      </c>
      <c r="AC10" s="247" t="s">
        <v>541</v>
      </c>
      <c r="AD10" s="247" t="s">
        <v>541</v>
      </c>
      <c r="AE10" s="247" t="s">
        <v>541</v>
      </c>
      <c r="AF10" s="247" t="s">
        <v>541</v>
      </c>
      <c r="AG10" s="247" t="s">
        <v>541</v>
      </c>
      <c r="AH10" s="247" t="s">
        <v>541</v>
      </c>
      <c r="AI10" s="247" t="s">
        <v>541</v>
      </c>
      <c r="AJ10" s="247" t="s">
        <v>541</v>
      </c>
      <c r="AK10" s="247" t="s">
        <v>541</v>
      </c>
      <c r="AL10" s="247" t="s">
        <v>541</v>
      </c>
      <c r="AM10" s="247" t="s">
        <v>541</v>
      </c>
      <c r="AN10" s="247" t="s">
        <v>541</v>
      </c>
      <c r="AO10" s="247" t="s">
        <v>541</v>
      </c>
      <c r="AP10" s="247" t="s">
        <v>541</v>
      </c>
      <c r="AQ10" s="247" t="s">
        <v>541</v>
      </c>
      <c r="AR10" s="247" t="s">
        <v>541</v>
      </c>
      <c r="AS10" s="247" t="s">
        <v>541</v>
      </c>
      <c r="AT10" s="247" t="s">
        <v>541</v>
      </c>
      <c r="AU10" s="247"/>
      <c r="AV10" s="247"/>
      <c r="AW10" s="247"/>
      <c r="AX10" s="247"/>
      <c r="AY10" s="247"/>
      <c r="AZ10" s="247"/>
      <c r="BA10" s="247"/>
      <c r="BB10" s="247"/>
    </row>
    <row r="11" spans="1:54">
      <c r="A11" t="s">
        <v>142</v>
      </c>
      <c r="B11" t="s">
        <v>143</v>
      </c>
      <c r="C11" s="249" t="s">
        <v>133</v>
      </c>
      <c r="D11">
        <v>640</v>
      </c>
      <c r="E11" s="237">
        <v>45978</v>
      </c>
      <c r="F11" s="237">
        <v>46136</v>
      </c>
      <c r="G11" s="237">
        <v>45978</v>
      </c>
      <c r="H11" s="237">
        <v>46136</v>
      </c>
      <c r="I11" t="s">
        <v>540</v>
      </c>
      <c r="J11" s="247"/>
      <c r="K11" s="247"/>
      <c r="L11" s="247"/>
      <c r="M11" s="247"/>
      <c r="N11" s="247"/>
      <c r="O11" s="247" t="s">
        <v>541</v>
      </c>
      <c r="P11" s="247" t="s">
        <v>541</v>
      </c>
      <c r="Q11" s="247" t="s">
        <v>541</v>
      </c>
      <c r="R11" s="247" t="s">
        <v>541</v>
      </c>
      <c r="S11" s="247" t="s">
        <v>541</v>
      </c>
      <c r="T11" s="247" t="s">
        <v>541</v>
      </c>
      <c r="U11" s="247" t="s">
        <v>541</v>
      </c>
      <c r="V11" s="247" t="s">
        <v>541</v>
      </c>
      <c r="W11" s="247" t="s">
        <v>541</v>
      </c>
      <c r="X11" s="247" t="s">
        <v>541</v>
      </c>
      <c r="Y11" s="247" t="s">
        <v>541</v>
      </c>
      <c r="Z11" s="247" t="s">
        <v>541</v>
      </c>
      <c r="AA11" s="247" t="s">
        <v>541</v>
      </c>
      <c r="AB11" s="247" t="s">
        <v>541</v>
      </c>
      <c r="AC11" s="247" t="s">
        <v>541</v>
      </c>
      <c r="AD11" s="247" t="s">
        <v>541</v>
      </c>
      <c r="AE11" s="247" t="s">
        <v>541</v>
      </c>
      <c r="AF11" s="247" t="s">
        <v>541</v>
      </c>
      <c r="AG11" s="247" t="s">
        <v>541</v>
      </c>
      <c r="AH11" s="247" t="s">
        <v>541</v>
      </c>
      <c r="AI11" s="247" t="s">
        <v>541</v>
      </c>
      <c r="AJ11" s="247" t="s">
        <v>541</v>
      </c>
      <c r="AK11" s="247" t="s">
        <v>541</v>
      </c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</row>
    <row r="12" spans="1:54">
      <c r="A12" t="s">
        <v>146</v>
      </c>
      <c r="B12" t="s">
        <v>147</v>
      </c>
      <c r="C12" s="249" t="s">
        <v>133</v>
      </c>
      <c r="D12">
        <v>0</v>
      </c>
      <c r="E12" s="237">
        <v>46055</v>
      </c>
      <c r="F12" s="237">
        <v>46203</v>
      </c>
      <c r="G12" s="237">
        <v>46055</v>
      </c>
      <c r="H12" s="237">
        <v>46203</v>
      </c>
      <c r="I12" t="s">
        <v>540</v>
      </c>
      <c r="J12" s="247"/>
      <c r="K12" s="247"/>
      <c r="L12" s="247"/>
      <c r="M12" s="247"/>
      <c r="N12" s="247"/>
      <c r="O12" s="247"/>
      <c r="P12" s="247"/>
      <c r="Q12" s="247"/>
      <c r="R12" s="247"/>
      <c r="S12" s="247"/>
      <c r="T12" s="247"/>
      <c r="U12" s="247"/>
      <c r="V12" s="247"/>
      <c r="W12" s="247"/>
      <c r="X12" s="247"/>
      <c r="Y12" s="247"/>
      <c r="Z12" s="247" t="s">
        <v>541</v>
      </c>
      <c r="AA12" s="247" t="s">
        <v>541</v>
      </c>
      <c r="AB12" s="247" t="s">
        <v>541</v>
      </c>
      <c r="AC12" s="247" t="s">
        <v>541</v>
      </c>
      <c r="AD12" s="247" t="s">
        <v>541</v>
      </c>
      <c r="AE12" s="247" t="s">
        <v>541</v>
      </c>
      <c r="AF12" s="247" t="s">
        <v>541</v>
      </c>
      <c r="AG12" s="247" t="s">
        <v>541</v>
      </c>
      <c r="AH12" s="247" t="s">
        <v>541</v>
      </c>
      <c r="AI12" s="247" t="s">
        <v>541</v>
      </c>
      <c r="AJ12" s="247" t="s">
        <v>541</v>
      </c>
      <c r="AK12" s="247" t="s">
        <v>541</v>
      </c>
      <c r="AL12" s="247" t="s">
        <v>541</v>
      </c>
      <c r="AM12" s="247" t="s">
        <v>541</v>
      </c>
      <c r="AN12" s="247" t="s">
        <v>541</v>
      </c>
      <c r="AO12" s="247" t="s">
        <v>541</v>
      </c>
      <c r="AP12" s="247" t="s">
        <v>541</v>
      </c>
      <c r="AQ12" s="247" t="s">
        <v>541</v>
      </c>
      <c r="AR12" s="247" t="s">
        <v>541</v>
      </c>
      <c r="AS12" s="247" t="s">
        <v>541</v>
      </c>
      <c r="AT12" s="247" t="s">
        <v>541</v>
      </c>
      <c r="AU12" s="247"/>
      <c r="AV12" s="247"/>
      <c r="AW12" s="247"/>
      <c r="AX12" s="247"/>
      <c r="AY12" s="247"/>
      <c r="AZ12" s="247"/>
      <c r="BA12" s="247"/>
      <c r="BB12" s="247"/>
    </row>
    <row r="13" spans="1:54">
      <c r="A13" t="s">
        <v>148</v>
      </c>
      <c r="B13" t="s">
        <v>149</v>
      </c>
      <c r="C13" s="249" t="s">
        <v>133</v>
      </c>
      <c r="D13">
        <v>120</v>
      </c>
      <c r="E13" s="237">
        <v>46076</v>
      </c>
      <c r="F13" s="237">
        <v>46129</v>
      </c>
      <c r="G13" s="237">
        <v>46076</v>
      </c>
      <c r="H13" s="237">
        <v>46129</v>
      </c>
      <c r="I13" t="s">
        <v>540</v>
      </c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 t="s">
        <v>541</v>
      </c>
      <c r="AD13" s="247" t="s">
        <v>541</v>
      </c>
      <c r="AE13" s="247" t="s">
        <v>541</v>
      </c>
      <c r="AF13" s="247" t="s">
        <v>541</v>
      </c>
      <c r="AG13" s="247" t="s">
        <v>541</v>
      </c>
      <c r="AH13" s="247" t="s">
        <v>541</v>
      </c>
      <c r="AI13" s="247" t="s">
        <v>541</v>
      </c>
      <c r="AJ13" s="247" t="s">
        <v>541</v>
      </c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</row>
    <row r="14" spans="1:54">
      <c r="A14" t="s">
        <v>154</v>
      </c>
      <c r="B14" t="s">
        <v>155</v>
      </c>
      <c r="C14" s="238" t="s">
        <v>156</v>
      </c>
      <c r="D14">
        <v>240</v>
      </c>
      <c r="E14" s="237">
        <v>46108</v>
      </c>
      <c r="F14" s="237">
        <v>46192</v>
      </c>
      <c r="G14" s="240">
        <v>46115</v>
      </c>
      <c r="H14" s="240">
        <v>46199</v>
      </c>
      <c r="I14" s="239" t="s">
        <v>543</v>
      </c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 t="s">
        <v>544</v>
      </c>
      <c r="AI14" s="247" t="s">
        <v>541</v>
      </c>
      <c r="AJ14" s="247" t="s">
        <v>541</v>
      </c>
      <c r="AK14" s="247" t="s">
        <v>541</v>
      </c>
      <c r="AL14" s="247" t="s">
        <v>541</v>
      </c>
      <c r="AM14" s="247" t="s">
        <v>541</v>
      </c>
      <c r="AN14" s="247" t="s">
        <v>541</v>
      </c>
      <c r="AO14" s="247" t="s">
        <v>541</v>
      </c>
      <c r="AP14" s="247" t="s">
        <v>541</v>
      </c>
      <c r="AQ14" s="247" t="s">
        <v>541</v>
      </c>
      <c r="AR14" s="247" t="s">
        <v>541</v>
      </c>
      <c r="AS14" s="247" t="s">
        <v>541</v>
      </c>
      <c r="AT14" s="247" t="s">
        <v>541</v>
      </c>
      <c r="AU14" s="247"/>
      <c r="AV14" s="247"/>
      <c r="AW14" s="247"/>
      <c r="AX14" s="247"/>
      <c r="AY14" s="247"/>
      <c r="AZ14" s="247"/>
      <c r="BA14" s="247"/>
      <c r="BB14" s="247"/>
    </row>
    <row r="15" spans="1:54">
      <c r="A15" t="s">
        <v>157</v>
      </c>
      <c r="B15" t="s">
        <v>158</v>
      </c>
      <c r="C15" s="238" t="s">
        <v>156</v>
      </c>
      <c r="D15">
        <v>640</v>
      </c>
      <c r="E15" s="237">
        <v>46108</v>
      </c>
      <c r="F15" s="237">
        <v>46192</v>
      </c>
      <c r="G15" s="240">
        <v>46157</v>
      </c>
      <c r="H15" s="240">
        <v>46241</v>
      </c>
      <c r="I15" s="239" t="s">
        <v>545</v>
      </c>
      <c r="J15" s="247"/>
      <c r="K15" s="247"/>
      <c r="L15" s="247"/>
      <c r="M15" s="247"/>
      <c r="N15" s="247"/>
      <c r="O15" s="247"/>
      <c r="P15" s="247"/>
      <c r="Q15" s="247"/>
      <c r="R15" s="247"/>
      <c r="S15" s="247"/>
      <c r="T15" s="247"/>
      <c r="U15" s="247"/>
      <c r="V15" s="247"/>
      <c r="W15" s="247"/>
      <c r="X15" s="247"/>
      <c r="Y15" s="247"/>
      <c r="Z15" s="247"/>
      <c r="AA15" s="247"/>
      <c r="AB15" s="247"/>
      <c r="AC15" s="247"/>
      <c r="AD15" s="247"/>
      <c r="AE15" s="247"/>
      <c r="AF15" s="247"/>
      <c r="AG15" s="247"/>
      <c r="AH15" s="247" t="s">
        <v>544</v>
      </c>
      <c r="AI15" s="247" t="s">
        <v>544</v>
      </c>
      <c r="AJ15" s="247" t="s">
        <v>544</v>
      </c>
      <c r="AK15" s="247" t="s">
        <v>544</v>
      </c>
      <c r="AL15" s="247" t="s">
        <v>544</v>
      </c>
      <c r="AM15" s="247" t="s">
        <v>544</v>
      </c>
      <c r="AN15" s="247" t="s">
        <v>544</v>
      </c>
      <c r="AO15" s="247" t="s">
        <v>541</v>
      </c>
      <c r="AP15" s="247" t="s">
        <v>541</v>
      </c>
      <c r="AQ15" s="247" t="s">
        <v>541</v>
      </c>
      <c r="AR15" s="247" t="s">
        <v>541</v>
      </c>
      <c r="AS15" s="247" t="s">
        <v>541</v>
      </c>
      <c r="AT15" s="247" t="s">
        <v>541</v>
      </c>
      <c r="AU15" s="247" t="s">
        <v>541</v>
      </c>
      <c r="AV15" s="247" t="s">
        <v>541</v>
      </c>
      <c r="AW15" s="247" t="s">
        <v>541</v>
      </c>
      <c r="AX15" s="247" t="s">
        <v>541</v>
      </c>
      <c r="AY15" s="247" t="s">
        <v>541</v>
      </c>
      <c r="AZ15" s="247" t="s">
        <v>541</v>
      </c>
      <c r="BA15" s="247"/>
      <c r="BB15" s="247"/>
    </row>
    <row r="16" spans="1:54">
      <c r="A16" t="s">
        <v>161</v>
      </c>
      <c r="B16" t="s">
        <v>162</v>
      </c>
      <c r="C16" s="238" t="s">
        <v>156</v>
      </c>
      <c r="D16">
        <v>40</v>
      </c>
      <c r="E16" s="237">
        <v>46108</v>
      </c>
      <c r="F16" s="237">
        <v>46192</v>
      </c>
      <c r="G16" s="240">
        <v>46136</v>
      </c>
      <c r="H16" s="240">
        <v>46220</v>
      </c>
      <c r="I16" s="239" t="s">
        <v>546</v>
      </c>
      <c r="J16" s="247"/>
      <c r="K16" s="247"/>
      <c r="L16" s="247"/>
      <c r="M16" s="247"/>
      <c r="N16" s="247"/>
      <c r="O16" s="247"/>
      <c r="P16" s="247"/>
      <c r="Q16" s="247"/>
      <c r="R16" s="247"/>
      <c r="S16" s="247"/>
      <c r="T16" s="247"/>
      <c r="U16" s="247"/>
      <c r="V16" s="247"/>
      <c r="W16" s="247"/>
      <c r="X16" s="247"/>
      <c r="Y16" s="247"/>
      <c r="Z16" s="247"/>
      <c r="AA16" s="247"/>
      <c r="AB16" s="247"/>
      <c r="AC16" s="247"/>
      <c r="AD16" s="247"/>
      <c r="AE16" s="247"/>
      <c r="AF16" s="247"/>
      <c r="AG16" s="247"/>
      <c r="AH16" s="247" t="s">
        <v>544</v>
      </c>
      <c r="AI16" s="247" t="s">
        <v>544</v>
      </c>
      <c r="AJ16" s="247" t="s">
        <v>544</v>
      </c>
      <c r="AK16" s="247" t="s">
        <v>544</v>
      </c>
      <c r="AL16" s="247" t="s">
        <v>541</v>
      </c>
      <c r="AM16" s="247" t="s">
        <v>541</v>
      </c>
      <c r="AN16" s="247" t="s">
        <v>541</v>
      </c>
      <c r="AO16" s="247" t="s">
        <v>541</v>
      </c>
      <c r="AP16" s="247" t="s">
        <v>541</v>
      </c>
      <c r="AQ16" s="247" t="s">
        <v>541</v>
      </c>
      <c r="AR16" s="247" t="s">
        <v>541</v>
      </c>
      <c r="AS16" s="247" t="s">
        <v>541</v>
      </c>
      <c r="AT16" s="247" t="s">
        <v>541</v>
      </c>
      <c r="AU16" s="247" t="s">
        <v>541</v>
      </c>
      <c r="AV16" s="247" t="s">
        <v>541</v>
      </c>
      <c r="AW16" s="247" t="s">
        <v>541</v>
      </c>
      <c r="AX16" s="247"/>
      <c r="AY16" s="247"/>
      <c r="AZ16" s="247"/>
      <c r="BA16" s="247"/>
      <c r="BB16" s="247"/>
    </row>
    <row r="17" spans="1:54">
      <c r="A17" t="s">
        <v>166</v>
      </c>
      <c r="B17" t="s">
        <v>167</v>
      </c>
      <c r="C17" s="238" t="s">
        <v>156</v>
      </c>
      <c r="D17">
        <v>120</v>
      </c>
      <c r="E17" s="237">
        <v>46108</v>
      </c>
      <c r="F17" s="237">
        <v>46192</v>
      </c>
      <c r="G17" s="240">
        <v>46164</v>
      </c>
      <c r="H17" s="240">
        <v>46248</v>
      </c>
      <c r="I17" s="239" t="s">
        <v>547</v>
      </c>
      <c r="J17" s="247"/>
      <c r="K17" s="247"/>
      <c r="L17" s="247"/>
      <c r="M17" s="247"/>
      <c r="N17" s="247"/>
      <c r="O17" s="247"/>
      <c r="P17" s="247"/>
      <c r="Q17" s="247"/>
      <c r="R17" s="247"/>
      <c r="S17" s="247"/>
      <c r="T17" s="247"/>
      <c r="U17" s="247"/>
      <c r="V17" s="247"/>
      <c r="W17" s="247"/>
      <c r="X17" s="247"/>
      <c r="Y17" s="247"/>
      <c r="Z17" s="247"/>
      <c r="AA17" s="247"/>
      <c r="AB17" s="247"/>
      <c r="AC17" s="247"/>
      <c r="AD17" s="247"/>
      <c r="AE17" s="247"/>
      <c r="AF17" s="247"/>
      <c r="AG17" s="247"/>
      <c r="AH17" s="247" t="s">
        <v>544</v>
      </c>
      <c r="AI17" s="247" t="s">
        <v>544</v>
      </c>
      <c r="AJ17" s="247" t="s">
        <v>544</v>
      </c>
      <c r="AK17" s="247" t="s">
        <v>544</v>
      </c>
      <c r="AL17" s="247" t="s">
        <v>544</v>
      </c>
      <c r="AM17" s="247" t="s">
        <v>544</v>
      </c>
      <c r="AN17" s="247" t="s">
        <v>544</v>
      </c>
      <c r="AO17" s="247" t="s">
        <v>544</v>
      </c>
      <c r="AP17" s="247" t="s">
        <v>541</v>
      </c>
      <c r="AQ17" s="247" t="s">
        <v>541</v>
      </c>
      <c r="AR17" s="247" t="s">
        <v>541</v>
      </c>
      <c r="AS17" s="247" t="s">
        <v>541</v>
      </c>
      <c r="AT17" s="247" t="s">
        <v>541</v>
      </c>
      <c r="AU17" s="247" t="s">
        <v>541</v>
      </c>
      <c r="AV17" s="247" t="s">
        <v>541</v>
      </c>
      <c r="AW17" s="247" t="s">
        <v>541</v>
      </c>
      <c r="AX17" s="247" t="s">
        <v>541</v>
      </c>
      <c r="AY17" s="247" t="s">
        <v>541</v>
      </c>
      <c r="AZ17" s="247" t="s">
        <v>541</v>
      </c>
      <c r="BA17" s="247" t="s">
        <v>541</v>
      </c>
      <c r="BB17" s="247"/>
    </row>
    <row r="18" spans="1:54">
      <c r="A18" t="s">
        <v>174</v>
      </c>
      <c r="B18" t="s">
        <v>175</v>
      </c>
      <c r="C18" s="238" t="s">
        <v>156</v>
      </c>
      <c r="D18">
        <v>200</v>
      </c>
      <c r="E18" s="237">
        <v>46108</v>
      </c>
      <c r="F18" s="237">
        <v>46192</v>
      </c>
      <c r="G18" s="240">
        <v>46178</v>
      </c>
      <c r="H18" s="240">
        <v>46262</v>
      </c>
      <c r="I18" s="239" t="s">
        <v>548</v>
      </c>
      <c r="J18" s="247"/>
      <c r="K18" s="247"/>
      <c r="L18" s="247"/>
      <c r="M18" s="247"/>
      <c r="N18" s="247"/>
      <c r="O18" s="247"/>
      <c r="P18" s="247"/>
      <c r="Q18" s="247"/>
      <c r="R18" s="247"/>
      <c r="S18" s="247"/>
      <c r="T18" s="247"/>
      <c r="U18" s="247"/>
      <c r="V18" s="247"/>
      <c r="W18" s="247"/>
      <c r="X18" s="247"/>
      <c r="Y18" s="247"/>
      <c r="Z18" s="247"/>
      <c r="AA18" s="247"/>
      <c r="AB18" s="247"/>
      <c r="AC18" s="247"/>
      <c r="AD18" s="247"/>
      <c r="AE18" s="247"/>
      <c r="AF18" s="247"/>
      <c r="AG18" s="247"/>
      <c r="AH18" s="247" t="s">
        <v>544</v>
      </c>
      <c r="AI18" s="247" t="s">
        <v>544</v>
      </c>
      <c r="AJ18" s="247" t="s">
        <v>544</v>
      </c>
      <c r="AK18" s="247" t="s">
        <v>544</v>
      </c>
      <c r="AL18" s="247" t="s">
        <v>544</v>
      </c>
      <c r="AM18" s="247" t="s">
        <v>544</v>
      </c>
      <c r="AN18" s="247" t="s">
        <v>544</v>
      </c>
      <c r="AO18" s="247" t="s">
        <v>544</v>
      </c>
      <c r="AP18" s="247" t="s">
        <v>544</v>
      </c>
      <c r="AQ18" s="247" t="s">
        <v>544</v>
      </c>
      <c r="AR18" s="247" t="s">
        <v>541</v>
      </c>
      <c r="AS18" s="247" t="s">
        <v>541</v>
      </c>
      <c r="AT18" s="247" t="s">
        <v>541</v>
      </c>
      <c r="AU18" s="247" t="s">
        <v>541</v>
      </c>
      <c r="AV18" s="247" t="s">
        <v>541</v>
      </c>
      <c r="AW18" s="247" t="s">
        <v>541</v>
      </c>
      <c r="AX18" s="247" t="s">
        <v>541</v>
      </c>
      <c r="AY18" s="247" t="s">
        <v>541</v>
      </c>
      <c r="AZ18" s="247" t="s">
        <v>541</v>
      </c>
      <c r="BA18" s="247" t="s">
        <v>541</v>
      </c>
      <c r="BB18" s="247" t="s">
        <v>541</v>
      </c>
    </row>
    <row r="21" spans="1:54">
      <c r="A21" s="217" t="s">
        <v>549</v>
      </c>
      <c r="B21" s="218"/>
    </row>
    <row r="22" spans="1:54">
      <c r="A22" t="s">
        <v>550</v>
      </c>
      <c r="B22" s="218" t="s">
        <v>551</v>
      </c>
    </row>
    <row r="23" spans="1:54">
      <c r="A23" t="s">
        <v>552</v>
      </c>
      <c r="B23" s="218" t="s">
        <v>553</v>
      </c>
    </row>
    <row r="24" spans="1:54">
      <c r="A24" t="s">
        <v>554</v>
      </c>
      <c r="B24" s="218" t="s">
        <v>555</v>
      </c>
    </row>
    <row r="25" spans="1:54" ht="30.75">
      <c r="A25" t="s">
        <v>556</v>
      </c>
      <c r="B25" s="218" t="s">
        <v>557</v>
      </c>
    </row>
    <row r="26" spans="1:54">
      <c r="B26" s="218"/>
    </row>
    <row r="27" spans="1:54">
      <c r="A27" s="217" t="s">
        <v>558</v>
      </c>
      <c r="B27" s="218"/>
    </row>
    <row r="28" spans="1:54">
      <c r="A28" s="179" t="s">
        <v>54</v>
      </c>
      <c r="B28" s="250" t="s">
        <v>559</v>
      </c>
    </row>
    <row r="29" spans="1:54" ht="16.5">
      <c r="A29" t="s">
        <v>560</v>
      </c>
      <c r="B29" s="218" t="s">
        <v>561</v>
      </c>
    </row>
    <row r="30" spans="1:54" ht="16.5">
      <c r="A30" t="s">
        <v>64</v>
      </c>
      <c r="B30" s="218" t="s">
        <v>562</v>
      </c>
    </row>
    <row r="31" spans="1:54" ht="16.5">
      <c r="A31" t="s">
        <v>69</v>
      </c>
      <c r="B31" s="218" t="s">
        <v>561</v>
      </c>
    </row>
    <row r="32" spans="1:54" ht="16.5">
      <c r="A32" t="s">
        <v>82</v>
      </c>
      <c r="B32" s="218" t="s">
        <v>563</v>
      </c>
    </row>
    <row r="33" spans="1:2" ht="16.5">
      <c r="A33" t="s">
        <v>26</v>
      </c>
      <c r="B33" s="218" t="s">
        <v>564</v>
      </c>
    </row>
    <row r="34" spans="1:2" ht="32.25">
      <c r="A34" s="242" t="s">
        <v>77</v>
      </c>
      <c r="B34" s="251" t="s">
        <v>565</v>
      </c>
    </row>
    <row r="35" spans="1:2" ht="16.5">
      <c r="A35" t="s">
        <v>112</v>
      </c>
      <c r="B35" s="218" t="s">
        <v>566</v>
      </c>
    </row>
  </sheetData>
  <conditionalFormatting sqref="J6:AG6">
    <cfRule type="containsText" dxfId="27" priority="1" operator="containsText" text="■">
      <formula>NOT(ISERROR(SEARCH("■",J6)))</formula>
    </cfRule>
  </conditionalFormatting>
  <conditionalFormatting sqref="J7:AG7">
    <cfRule type="containsText" dxfId="26" priority="2" operator="containsText" text="■">
      <formula>NOT(ISERROR(SEARCH("■",J7)))</formula>
    </cfRule>
  </conditionalFormatting>
  <conditionalFormatting sqref="J8:AG8">
    <cfRule type="containsText" dxfId="25" priority="3" operator="containsText" text="■">
      <formula>NOT(ISERROR(SEARCH("■",J8)))</formula>
    </cfRule>
  </conditionalFormatting>
  <conditionalFormatting sqref="J9:AG9">
    <cfRule type="containsText" dxfId="24" priority="4" operator="containsText" text="■">
      <formula>NOT(ISERROR(SEARCH("■",J9)))</formula>
    </cfRule>
  </conditionalFormatting>
  <conditionalFormatting sqref="J10:AG10">
    <cfRule type="containsText" dxfId="23" priority="5" operator="containsText" text="■">
      <formula>NOT(ISERROR(SEARCH("■",J10)))</formula>
    </cfRule>
  </conditionalFormatting>
  <conditionalFormatting sqref="J11:AG11">
    <cfRule type="containsText" dxfId="22" priority="6" operator="containsText" text="■">
      <formula>NOT(ISERROR(SEARCH("■",J11)))</formula>
    </cfRule>
  </conditionalFormatting>
  <conditionalFormatting sqref="J12:AG12">
    <cfRule type="containsText" dxfId="21" priority="7" operator="containsText" text="■">
      <formula>NOT(ISERROR(SEARCH("■",J12)))</formula>
    </cfRule>
  </conditionalFormatting>
  <conditionalFormatting sqref="J13:AG13">
    <cfRule type="containsText" dxfId="20" priority="8" operator="containsText" text="■">
      <formula>NOT(ISERROR(SEARCH("■",J13)))</formula>
    </cfRule>
  </conditionalFormatting>
  <conditionalFormatting sqref="J14:AG14">
    <cfRule type="containsText" dxfId="19" priority="9" operator="containsText" text="■">
      <formula>NOT(ISERROR(SEARCH("■",J14)))</formula>
    </cfRule>
  </conditionalFormatting>
  <conditionalFormatting sqref="J15:AG15">
    <cfRule type="containsText" dxfId="18" priority="10" operator="containsText" text="■">
      <formula>NOT(ISERROR(SEARCH("■",J15)))</formula>
    </cfRule>
  </conditionalFormatting>
  <conditionalFormatting sqref="J16:AG16">
    <cfRule type="containsText" dxfId="17" priority="11" operator="containsText" text="■">
      <formula>NOT(ISERROR(SEARCH("■",J16)))</formula>
    </cfRule>
  </conditionalFormatting>
  <conditionalFormatting sqref="J17:AG17">
    <cfRule type="containsText" dxfId="16" priority="12" operator="containsText" text="■">
      <formula>NOT(ISERROR(SEARCH("■",J17)))</formula>
    </cfRule>
  </conditionalFormatting>
  <conditionalFormatting sqref="J18:AG18">
    <cfRule type="containsText" dxfId="15" priority="13" operator="containsText" text="■">
      <formula>NOT(ISERROR(SEARCH("■",J18)))</formula>
    </cfRule>
  </conditionalFormatting>
  <conditionalFormatting sqref="J6:AG18">
    <cfRule type="containsText" dxfId="14" priority="14" operator="containsText" text="·">
      <formula>NOT(ISERROR(SEARCH("·",J6)))</formula>
    </cfRule>
  </conditionalFormatting>
  <conditionalFormatting sqref="AH6:BB6">
    <cfRule type="containsText" dxfId="13" priority="15" operator="containsText" text="■">
      <formula>NOT(ISERROR(SEARCH("■",AH6)))</formula>
    </cfRule>
  </conditionalFormatting>
  <conditionalFormatting sqref="AH7:BB7">
    <cfRule type="containsText" dxfId="12" priority="16" operator="containsText" text="■">
      <formula>NOT(ISERROR(SEARCH("■",AH7)))</formula>
    </cfRule>
  </conditionalFormatting>
  <conditionalFormatting sqref="AH8:BB8">
    <cfRule type="containsText" dxfId="11" priority="17" operator="containsText" text="■">
      <formula>NOT(ISERROR(SEARCH("■",AH8)))</formula>
    </cfRule>
  </conditionalFormatting>
  <conditionalFormatting sqref="AH9:BB9">
    <cfRule type="containsText" dxfId="10" priority="18" operator="containsText" text="■">
      <formula>NOT(ISERROR(SEARCH("■",AH9)))</formula>
    </cfRule>
  </conditionalFormatting>
  <conditionalFormatting sqref="AH10:BB10">
    <cfRule type="containsText" dxfId="9" priority="19" operator="containsText" text="■">
      <formula>NOT(ISERROR(SEARCH("■",AH10)))</formula>
    </cfRule>
  </conditionalFormatting>
  <conditionalFormatting sqref="AH11:BB11">
    <cfRule type="containsText" dxfId="8" priority="20" operator="containsText" text="■">
      <formula>NOT(ISERROR(SEARCH("■",AH11)))</formula>
    </cfRule>
  </conditionalFormatting>
  <conditionalFormatting sqref="AH12:BB12">
    <cfRule type="containsText" dxfId="7" priority="21" operator="containsText" text="■">
      <formula>NOT(ISERROR(SEARCH("■",AH12)))</formula>
    </cfRule>
  </conditionalFormatting>
  <conditionalFormatting sqref="AH13:BB13">
    <cfRule type="containsText" dxfId="6" priority="22" operator="containsText" text="■">
      <formula>NOT(ISERROR(SEARCH("■",AH13)))</formula>
    </cfRule>
  </conditionalFormatting>
  <conditionalFormatting sqref="AH14:BB14">
    <cfRule type="containsText" dxfId="5" priority="23" operator="containsText" text="■">
      <formula>NOT(ISERROR(SEARCH("■",AH14)))</formula>
    </cfRule>
  </conditionalFormatting>
  <conditionalFormatting sqref="AH15:BB15">
    <cfRule type="containsText" dxfId="4" priority="24" operator="containsText" text="■">
      <formula>NOT(ISERROR(SEARCH("■",AH15)))</formula>
    </cfRule>
  </conditionalFormatting>
  <conditionalFormatting sqref="AH16:BB16">
    <cfRule type="containsText" dxfId="3" priority="25" operator="containsText" text="■">
      <formula>NOT(ISERROR(SEARCH("■",AH16)))</formula>
    </cfRule>
  </conditionalFormatting>
  <conditionalFormatting sqref="AH17:BB17">
    <cfRule type="containsText" dxfId="2" priority="26" operator="containsText" text="■">
      <formula>NOT(ISERROR(SEARCH("■",AH17)))</formula>
    </cfRule>
  </conditionalFormatting>
  <conditionalFormatting sqref="AH18:BB18">
    <cfRule type="containsText" dxfId="1" priority="27" operator="containsText" text="■">
      <formula>NOT(ISERROR(SEARCH("■",AH18)))</formula>
    </cfRule>
  </conditionalFormatting>
  <conditionalFormatting sqref="AH6:BB18">
    <cfRule type="containsText" dxfId="0" priority="28" operator="containsText" text="·">
      <formula>NOT(ISERROR(SEARCH("·",AH6)))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F720-EC43-4A91-B1AE-EB7748EA6A61}">
  <dimension ref="A1:B77"/>
  <sheetViews>
    <sheetView workbookViewId="0"/>
  </sheetViews>
  <sheetFormatPr defaultRowHeight="15"/>
  <cols>
    <col min="1" max="1" width="41.85546875" customWidth="1"/>
    <col min="2" max="2" width="114.28515625" customWidth="1"/>
  </cols>
  <sheetData>
    <row r="1" spans="1:2" ht="18.75">
      <c r="A1" s="258" t="s">
        <v>567</v>
      </c>
      <c r="B1" s="256"/>
    </row>
    <row r="2" spans="1:2">
      <c r="A2" s="259" t="s">
        <v>568</v>
      </c>
      <c r="B2" s="256"/>
    </row>
    <row r="3" spans="1:2">
      <c r="A3" s="255"/>
      <c r="B3" s="256"/>
    </row>
    <row r="4" spans="1:2" ht="15.75">
      <c r="A4" s="261" t="s">
        <v>569</v>
      </c>
      <c r="B4" s="262"/>
    </row>
    <row r="5" spans="1:2">
      <c r="A5" s="260" t="s">
        <v>103</v>
      </c>
      <c r="B5" s="256" t="s">
        <v>570</v>
      </c>
    </row>
    <row r="6" spans="1:2">
      <c r="A6" s="260" t="s">
        <v>571</v>
      </c>
      <c r="B6" s="256" t="s">
        <v>572</v>
      </c>
    </row>
    <row r="7" spans="1:2" ht="45.75">
      <c r="A7" s="260" t="s">
        <v>573</v>
      </c>
      <c r="B7" s="256" t="s">
        <v>574</v>
      </c>
    </row>
    <row r="8" spans="1:2" ht="60.75">
      <c r="A8" s="260" t="s">
        <v>575</v>
      </c>
      <c r="B8" s="256" t="s">
        <v>576</v>
      </c>
    </row>
    <row r="9" spans="1:2" ht="30.75">
      <c r="A9" s="260" t="s">
        <v>577</v>
      </c>
      <c r="B9" s="256" t="s">
        <v>578</v>
      </c>
    </row>
    <row r="10" spans="1:2">
      <c r="A10" s="260" t="s">
        <v>579</v>
      </c>
      <c r="B10" s="256" t="s">
        <v>580</v>
      </c>
    </row>
    <row r="11" spans="1:2">
      <c r="A11" s="260" t="s">
        <v>581</v>
      </c>
      <c r="B11" s="256" t="s">
        <v>582</v>
      </c>
    </row>
    <row r="12" spans="1:2">
      <c r="A12" s="255"/>
      <c r="B12" s="256"/>
    </row>
    <row r="13" spans="1:2" ht="15.75">
      <c r="A13" s="261" t="s">
        <v>583</v>
      </c>
      <c r="B13" s="262"/>
    </row>
    <row r="14" spans="1:2">
      <c r="A14" s="260" t="s">
        <v>584</v>
      </c>
      <c r="B14" s="256" t="s">
        <v>585</v>
      </c>
    </row>
    <row r="15" spans="1:2" ht="45.75">
      <c r="A15" s="260" t="s">
        <v>586</v>
      </c>
      <c r="B15" s="256" t="s">
        <v>587</v>
      </c>
    </row>
    <row r="16" spans="1:2">
      <c r="A16" s="255"/>
      <c r="B16" s="256"/>
    </row>
    <row r="17" spans="1:2">
      <c r="A17" s="263" t="s">
        <v>588</v>
      </c>
      <c r="B17" s="264"/>
    </row>
    <row r="18" spans="1:2">
      <c r="A18" s="260" t="s">
        <v>589</v>
      </c>
      <c r="B18" s="257" t="s">
        <v>590</v>
      </c>
    </row>
    <row r="19" spans="1:2" ht="45.75">
      <c r="A19" s="260" t="s">
        <v>591</v>
      </c>
      <c r="B19" s="256" t="s">
        <v>592</v>
      </c>
    </row>
    <row r="20" spans="1:2">
      <c r="A20" s="260" t="s">
        <v>593</v>
      </c>
      <c r="B20" s="256" t="s">
        <v>594</v>
      </c>
    </row>
    <row r="21" spans="1:2">
      <c r="A21" s="260" t="s">
        <v>595</v>
      </c>
      <c r="B21" s="256" t="s">
        <v>596</v>
      </c>
    </row>
    <row r="22" spans="1:2">
      <c r="A22" s="255"/>
      <c r="B22" s="256"/>
    </row>
    <row r="23" spans="1:2">
      <c r="A23" s="263" t="s">
        <v>597</v>
      </c>
      <c r="B23" s="264"/>
    </row>
    <row r="24" spans="1:2">
      <c r="A24" s="260" t="s">
        <v>589</v>
      </c>
      <c r="B24" s="257" t="s">
        <v>598</v>
      </c>
    </row>
    <row r="25" spans="1:2" ht="30.75">
      <c r="A25" s="260" t="s">
        <v>591</v>
      </c>
      <c r="B25" s="256" t="s">
        <v>599</v>
      </c>
    </row>
    <row r="26" spans="1:2">
      <c r="A26" s="260" t="s">
        <v>600</v>
      </c>
      <c r="B26" s="256" t="s">
        <v>601</v>
      </c>
    </row>
    <row r="27" spans="1:2">
      <c r="A27" s="255"/>
      <c r="B27" s="256"/>
    </row>
    <row r="28" spans="1:2">
      <c r="A28" s="263" t="s">
        <v>602</v>
      </c>
      <c r="B28" s="264"/>
    </row>
    <row r="29" spans="1:2">
      <c r="A29" s="260" t="s">
        <v>488</v>
      </c>
      <c r="B29" s="256" t="s">
        <v>603</v>
      </c>
    </row>
    <row r="30" spans="1:2">
      <c r="A30" s="260" t="s">
        <v>604</v>
      </c>
      <c r="B30" s="256" t="s">
        <v>605</v>
      </c>
    </row>
    <row r="31" spans="1:2" ht="30.75">
      <c r="A31" s="260" t="s">
        <v>606</v>
      </c>
      <c r="B31" s="256" t="s">
        <v>607</v>
      </c>
    </row>
    <row r="32" spans="1:2" ht="30.75">
      <c r="A32" s="260" t="s">
        <v>608</v>
      </c>
      <c r="B32" s="256" t="s">
        <v>609</v>
      </c>
    </row>
    <row r="33" spans="1:2">
      <c r="A33" s="255"/>
      <c r="B33" s="256"/>
    </row>
    <row r="34" spans="1:2" ht="15.75">
      <c r="A34" s="261" t="s">
        <v>610</v>
      </c>
      <c r="B34" s="262"/>
    </row>
    <row r="35" spans="1:2">
      <c r="A35" s="263" t="s">
        <v>611</v>
      </c>
      <c r="B35" s="264"/>
    </row>
    <row r="36" spans="1:2" ht="30.75">
      <c r="A36" s="260" t="s">
        <v>612</v>
      </c>
      <c r="B36" s="256" t="s">
        <v>613</v>
      </c>
    </row>
    <row r="37" spans="1:2" ht="30.75">
      <c r="A37" s="260" t="s">
        <v>614</v>
      </c>
      <c r="B37" s="256" t="s">
        <v>615</v>
      </c>
    </row>
    <row r="38" spans="1:2" ht="30.75">
      <c r="A38" s="260" t="s">
        <v>616</v>
      </c>
      <c r="B38" s="256" t="s">
        <v>617</v>
      </c>
    </row>
    <row r="39" spans="1:2" ht="30.75">
      <c r="A39" s="260" t="s">
        <v>618</v>
      </c>
      <c r="B39" s="256" t="s">
        <v>619</v>
      </c>
    </row>
    <row r="40" spans="1:2" ht="30.75">
      <c r="A40" s="260" t="s">
        <v>620</v>
      </c>
      <c r="B40" s="256" t="s">
        <v>621</v>
      </c>
    </row>
    <row r="41" spans="1:2" ht="30.75">
      <c r="A41" s="260" t="s">
        <v>622</v>
      </c>
      <c r="B41" s="256" t="s">
        <v>623</v>
      </c>
    </row>
    <row r="42" spans="1:2">
      <c r="A42" s="255"/>
      <c r="B42" s="256"/>
    </row>
    <row r="43" spans="1:2">
      <c r="A43" s="263" t="s">
        <v>624</v>
      </c>
      <c r="B43" s="264"/>
    </row>
    <row r="44" spans="1:2">
      <c r="A44" s="260" t="s">
        <v>625</v>
      </c>
      <c r="B44" s="256" t="s">
        <v>626</v>
      </c>
    </row>
    <row r="45" spans="1:2">
      <c r="A45" s="260" t="s">
        <v>627</v>
      </c>
      <c r="B45" s="256" t="s">
        <v>628</v>
      </c>
    </row>
    <row r="46" spans="1:2">
      <c r="A46" s="260" t="s">
        <v>629</v>
      </c>
      <c r="B46" s="256" t="s">
        <v>630</v>
      </c>
    </row>
    <row r="47" spans="1:2">
      <c r="A47" s="255"/>
      <c r="B47" s="256"/>
    </row>
    <row r="48" spans="1:2" ht="15.75">
      <c r="A48" s="261" t="s">
        <v>631</v>
      </c>
      <c r="B48" s="262"/>
    </row>
    <row r="49" spans="1:2">
      <c r="A49" s="260" t="s">
        <v>632</v>
      </c>
      <c r="B49" s="256" t="s">
        <v>633</v>
      </c>
    </row>
    <row r="50" spans="1:2">
      <c r="A50" s="260" t="s">
        <v>634</v>
      </c>
      <c r="B50" s="256" t="s">
        <v>635</v>
      </c>
    </row>
    <row r="51" spans="1:2" ht="30.75">
      <c r="A51" s="260" t="s">
        <v>636</v>
      </c>
      <c r="B51" s="256" t="s">
        <v>637</v>
      </c>
    </row>
    <row r="52" spans="1:2" ht="30.75">
      <c r="A52" s="260" t="s">
        <v>638</v>
      </c>
      <c r="B52" s="256" t="s">
        <v>639</v>
      </c>
    </row>
    <row r="53" spans="1:2">
      <c r="A53" s="260" t="s">
        <v>640</v>
      </c>
      <c r="B53" s="256" t="s">
        <v>641</v>
      </c>
    </row>
    <row r="54" spans="1:2" ht="30.75">
      <c r="A54" s="260" t="s">
        <v>642</v>
      </c>
      <c r="B54" s="256" t="s">
        <v>643</v>
      </c>
    </row>
    <row r="55" spans="1:2">
      <c r="A55" s="255"/>
      <c r="B55" s="256"/>
    </row>
    <row r="56" spans="1:2" ht="15.75">
      <c r="A56" s="261" t="s">
        <v>644</v>
      </c>
      <c r="B56" s="262"/>
    </row>
    <row r="57" spans="1:2" ht="183">
      <c r="A57" s="260" t="s">
        <v>645</v>
      </c>
      <c r="B57" s="256" t="s">
        <v>646</v>
      </c>
    </row>
    <row r="58" spans="1:2">
      <c r="A58" s="255"/>
      <c r="B58" s="256"/>
    </row>
    <row r="59" spans="1:2" ht="15.75">
      <c r="A59" s="261" t="s">
        <v>647</v>
      </c>
      <c r="B59" s="262"/>
    </row>
    <row r="60" spans="1:2" ht="45.75">
      <c r="A60" s="260" t="s">
        <v>648</v>
      </c>
      <c r="B60" s="256" t="s">
        <v>649</v>
      </c>
    </row>
    <row r="61" spans="1:2" ht="30.75">
      <c r="A61" s="260" t="s">
        <v>650</v>
      </c>
      <c r="B61" s="256" t="s">
        <v>651</v>
      </c>
    </row>
    <row r="62" spans="1:2" ht="45.75">
      <c r="A62" s="260" t="s">
        <v>652</v>
      </c>
      <c r="B62" s="256" t="s">
        <v>653</v>
      </c>
    </row>
    <row r="63" spans="1:2">
      <c r="A63" s="255"/>
      <c r="B63" s="256"/>
    </row>
    <row r="64" spans="1:2" ht="15.75">
      <c r="A64" s="261" t="s">
        <v>654</v>
      </c>
      <c r="B64" s="262"/>
    </row>
    <row r="65" spans="1:2">
      <c r="A65" s="260" t="s">
        <v>655</v>
      </c>
      <c r="B65" s="256" t="s">
        <v>656</v>
      </c>
    </row>
    <row r="66" spans="1:2">
      <c r="A66" s="260" t="s">
        <v>657</v>
      </c>
      <c r="B66" s="256" t="s">
        <v>658</v>
      </c>
    </row>
    <row r="67" spans="1:2">
      <c r="A67" s="260" t="s">
        <v>638</v>
      </c>
      <c r="B67" s="256" t="s">
        <v>659</v>
      </c>
    </row>
    <row r="68" spans="1:2">
      <c r="A68" s="260" t="s">
        <v>636</v>
      </c>
      <c r="B68" s="256" t="s">
        <v>660</v>
      </c>
    </row>
    <row r="69" spans="1:2">
      <c r="A69" s="260" t="s">
        <v>661</v>
      </c>
      <c r="B69" s="256" t="s">
        <v>662</v>
      </c>
    </row>
    <row r="70" spans="1:2">
      <c r="A70" s="260" t="s">
        <v>663</v>
      </c>
      <c r="B70" s="256" t="s">
        <v>664</v>
      </c>
    </row>
    <row r="71" spans="1:2">
      <c r="A71" s="255"/>
      <c r="B71" s="256"/>
    </row>
    <row r="72" spans="1:2" ht="15.75">
      <c r="A72" s="261" t="s">
        <v>665</v>
      </c>
      <c r="B72" s="262"/>
    </row>
    <row r="73" spans="1:2">
      <c r="A73" s="260" t="s">
        <v>666</v>
      </c>
      <c r="B73" s="256" t="s">
        <v>667</v>
      </c>
    </row>
    <row r="74" spans="1:2">
      <c r="A74" s="260" t="s">
        <v>668</v>
      </c>
      <c r="B74" s="256" t="s">
        <v>669</v>
      </c>
    </row>
    <row r="75" spans="1:2" ht="30.75">
      <c r="A75" s="260" t="s">
        <v>670</v>
      </c>
      <c r="B75" s="256" t="s">
        <v>671</v>
      </c>
    </row>
    <row r="76" spans="1:2">
      <c r="A76" s="260" t="s">
        <v>672</v>
      </c>
      <c r="B76" s="256" t="s">
        <v>673</v>
      </c>
    </row>
    <row r="77" spans="1:2">
      <c r="A77" s="260" t="s">
        <v>674</v>
      </c>
      <c r="B77" s="256" t="s">
        <v>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2026-03-24T17:23:54Z</dcterms:created>
  <dcterms:modified xsi:type="dcterms:W3CDTF">2026-03-28T15:02:15Z</dcterms:modified>
  <cp:category/>
  <cp:contentStatus/>
</cp:coreProperties>
</file>